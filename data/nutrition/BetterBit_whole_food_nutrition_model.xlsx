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207633fad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gredientDB" sheetId="1" r:id="Raa016575fde44e0c"/>
    <x:sheet xmlns:r="http://schemas.openxmlformats.org/officeDocument/2006/relationships" name="Meal_Calculator" sheetId="2" r:id="R54c73d09e82d43f5"/>
    <x:sheet xmlns:r="http://schemas.openxmlformats.org/officeDocument/2006/relationships" name="Oil_Rules" sheetId="3" r:id="R155c72e603754734"/>
    <x:sheet xmlns:r="http://schemas.openxmlformats.org/officeDocument/2006/relationships" name="Sauce_Rules" sheetId="4" r:id="Rd76c7f8352634a4b"/>
    <x:sheet xmlns:r="http://schemas.openxmlformats.org/officeDocument/2006/relationships" name="Implementation_Notes" sheetId="5" r:id="Rad6ec0531337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3" fillId="5" borderId="0" xfId="0" applyNumberFormat="1" applyFont="1" applyFill="1" applyBorder="1"/>
    <x:xf numFmtId="200" fontId="0" fillId="0" borderId="1" xfId="0" applyNumberFormat="1" applyFont="1" applyFill="1" applyBorder="1"/>
    <x:xf numFmtId="200" fontId="3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9da1bdb8b43b5" /><Relationship Type="http://schemas.openxmlformats.org/officeDocument/2006/relationships/theme" Target="/xl/theme/theme1.xml" Id="Ra71646ae9005457a" /><Relationship Type="http://schemas.openxmlformats.org/officeDocument/2006/relationships/sharedStrings" Target="/xl/sharedStrings.xml" Id="R5c3e7db58f32497a" /><Relationship Type="http://schemas.openxmlformats.org/officeDocument/2006/relationships/worksheet" Target="/xl/worksheets/sheet1.xml" Id="Raa016575fde44e0c" /><Relationship Type="http://schemas.openxmlformats.org/officeDocument/2006/relationships/worksheet" Target="/xl/worksheets/sheet2.xml" Id="R54c73d09e82d43f5" /><Relationship Type="http://schemas.openxmlformats.org/officeDocument/2006/relationships/worksheet" Target="/xl/worksheets/sheet3.xml" Id="R155c72e603754734" /><Relationship Type="http://schemas.openxmlformats.org/officeDocument/2006/relationships/worksheet" Target="/xl/worksheets/sheet4.xml" Id="Rd76c7f8352634a4b" /><Relationship Type="http://schemas.openxmlformats.org/officeDocument/2006/relationships/worksheet" Target="/xl/worksheets/sheet5.xml" Id="Rad6ec0531337450e" /></Relationships>
</file>

<file path=xl/tables/table1.xml><?xml version="1.0" encoding="utf-8"?>
<x:table xmlns:x="http://schemas.openxmlformats.org/spreadsheetml/2006/main" id="1" name="IngredientTable" displayName="IngredientTable" ref="A1:K104" headerRowCount="1">
  <x:tableColumns count="11">
    <x:tableColumn id="1" name="food_id"/>
    <x:tableColumn id="2" name="category"/>
    <x:tableColumn id="3" name="food_name"/>
    <x:tableColumn id="4" name="state"/>
    <x:tableColumn id="5" name="kcal_100g"/>
    <x:tableColumn id="6" name="protein_g_100g"/>
    <x:tableColumn id="7" name="fat_g_100g"/>
    <x:tableColumn id="8" name="carb_g_100g"/>
    <x:tableColumn id="9" name="sodium_mg_100g"/>
    <x:tableColumn id="10" name="source"/>
    <x:tableColumn id="11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OilRulesTable" displayName="OilRulesTable" ref="A1:E21" headerRowCount="1">
  <x:tableColumns count="5">
    <x:tableColumn id="1" name="cooking_method"/>
    <x:tableColumn id="2" name="oil_level"/>
    <x:tableColumn id="3" name="oil_g_per_meal"/>
    <x:tableColumn id="4" name="lookup_key"/>
    <x:tableColumn id="5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SauceRulesTable" displayName="SauceRulesTable" ref="A1:G5" headerRowCount="1">
  <x:tableColumns count="7">
    <x:tableColumn id="1" name="sauce_level"/>
    <x:tableColumn id="2" name="kcal"/>
    <x:tableColumn id="3" name="protein_g"/>
    <x:tableColumn id="4" name="fat_g"/>
    <x:tableColumn id="5" name="carb_g"/>
    <x:tableColumn id="6" name="sodium_mg"/>
    <x:tableColumn id="7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fffe1a47d74b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382a17c8b749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4b6c7bc158455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14" hidden="0" customWidth="1"/>
    <x:col min="5" max="5" width="8.130000114440918" hidden="0" customWidth="1"/>
    <x:col min="6" max="6" width="12.5" hidden="0" customWidth="1"/>
    <x:col min="7" max="7" width="9" hidden="0" customWidth="1"/>
    <x:col min="8" max="8" width="10.25" hidden="0" customWidth="1"/>
    <x:col min="9" max="9" width="14" hidden="0" customWidth="1"/>
    <x:col min="10" max="10" width="28" hidden="0" customWidth="1"/>
    <x:col min="11" max="11" width="36" hidden="0" customWidth="1"/>
  </x:cols>
  <x:sheetData>
    <x:row r="1">
      <x:c r="A1" s="14" t="str">
        <x:v>food_id</x:v>
      </x:c>
      <x:c r="B1" s="14" t="str">
        <x:v>category</x:v>
      </x:c>
      <x:c r="C1" s="14" t="str">
        <x:v>food_name</x:v>
      </x:c>
      <x:c r="D1" s="14" t="str">
        <x:v>state</x:v>
      </x:c>
      <x:c r="E1" s="14" t="str">
        <x:v>kcal_100g</x:v>
      </x:c>
      <x:c r="F1" s="14" t="str">
        <x:v>protein_g_100g</x:v>
      </x:c>
      <x:c r="G1" s="14" t="str">
        <x:v>fat_g_100g</x:v>
      </x:c>
      <x:c r="H1" s="14" t="str">
        <x:v>carb_g_100g</x:v>
      </x:c>
      <x:c r="I1" s="14" t="str">
        <x:v>sodium_mg_100g</x:v>
      </x:c>
      <x:c r="J1" s="14" t="str">
        <x:v>source</x:v>
      </x:c>
      <x:c r="K1" s="14" t="str">
        <x:v>note</x:v>
      </x:c>
    </x:row>
    <x:row r="2">
      <x:c r="A2" s="8" t="str">
        <x:v>ST001</x:v>
      </x:c>
      <x:c r="B2" s="8" t="str">
        <x:v>主食/澱粉</x:v>
      </x:c>
      <x:c r="C2" s="8" t="str">
        <x:v>白飯（熟）</x:v>
      </x:c>
      <x:c r="D2" s="8" t="str">
        <x:v>熟/可食部</x:v>
      </x:c>
      <x:c r="E2" s="34" t="n">
        <x:v>130</x:v>
      </x:c>
      <x:c r="F2" s="34" t="n">
        <x:v>2.4</x:v>
      </x:c>
      <x:c r="G2" s="34" t="n">
        <x:v>0.3</x:v>
      </x:c>
      <x:c r="H2" s="34" t="n">
        <x:v>28.2</x:v>
      </x:c>
      <x:c r="I2" s="34" t="n">
        <x:v>1</x:v>
      </x:c>
      <x:c r="J2" s="8" t="str">
        <x:v>USDA FDC / Taiwan FDA nutrition DB</x:v>
      </x:c>
      <x:c r="K2" s="8" t="str">
        <x:v>白飯水分差異大，便當飯可用此值</x:v>
      </x:c>
    </x:row>
    <x:row r="3">
      <x:c r="A3" s="8" t="str">
        <x:v>ST002</x:v>
      </x:c>
      <x:c r="B3" s="8" t="str">
        <x:v>主食/澱粉</x:v>
      </x:c>
      <x:c r="C3" s="8" t="str">
        <x:v>糙米飯（熟）</x:v>
      </x:c>
      <x:c r="D3" s="8" t="str">
        <x:v>熟/可食部</x:v>
      </x:c>
      <x:c r="E3" s="34" t="n">
        <x:v>123</x:v>
      </x:c>
      <x:c r="F3" s="34" t="n">
        <x:v>2.7</x:v>
      </x:c>
      <x:c r="G3" s="34" t="n">
        <x:v>1</x:v>
      </x:c>
      <x:c r="H3" s="34" t="n">
        <x:v>25.6</x:v>
      </x:c>
      <x:c r="I3" s="34" t="n">
        <x:v>4</x:v>
      </x:c>
      <x:c r="J3" s="8" t="str">
        <x:v>USDA FDC / Taiwan FDA nutrition DB</x:v>
      </x:c>
      <x:c r="K3" s="8" t="str"/>
    </x:row>
    <x:row r="4">
      <x:c r="A4" s="8" t="str">
        <x:v>ST003</x:v>
      </x:c>
      <x:c r="B4" s="8" t="str">
        <x:v>主食/澱粉</x:v>
      </x:c>
      <x:c r="C4" s="8" t="str">
        <x:v>燕麥片（乾）</x:v>
      </x:c>
      <x:c r="D4" s="8" t="str">
        <x:v>乾/可食部</x:v>
      </x:c>
      <x:c r="E4" s="34" t="n">
        <x:v>389</x:v>
      </x:c>
      <x:c r="F4" s="34" t="n">
        <x:v>16.9</x:v>
      </x:c>
      <x:c r="G4" s="34" t="n">
        <x:v>6.9</x:v>
      </x:c>
      <x:c r="H4" s="34" t="n">
        <x:v>66.3</x:v>
      </x:c>
      <x:c r="I4" s="34" t="n">
        <x:v>2</x:v>
      </x:c>
      <x:c r="J4" s="8" t="str">
        <x:v>USDA FDC</x:v>
      </x:c>
      <x:c r="K4" s="8" t="str">
        <x:v>使用乾重；泡水後請用乾重或另建熟重</x:v>
      </x:c>
    </x:row>
    <x:row r="5">
      <x:c r="A5" s="8" t="str">
        <x:v>ST004</x:v>
      </x:c>
      <x:c r="B5" s="8" t="str">
        <x:v>主食/澱粉</x:v>
      </x:c>
      <x:c r="C5" s="8" t="str">
        <x:v>地瓜（蒸）</x:v>
      </x:c>
      <x:c r="D5" s="8" t="str">
        <x:v>熟/可食部</x:v>
      </x:c>
      <x:c r="E5" s="34" t="n">
        <x:v>90</x:v>
      </x:c>
      <x:c r="F5" s="34" t="n">
        <x:v>2</x:v>
      </x:c>
      <x:c r="G5" s="34" t="n">
        <x:v>0.1</x:v>
      </x:c>
      <x:c r="H5" s="34" t="n">
        <x:v>20.7</x:v>
      </x:c>
      <x:c r="I5" s="34" t="n">
        <x:v>36</x:v>
      </x:c>
      <x:c r="J5" s="8" t="str">
        <x:v>USDA FDC / Taiwan FDA nutrition DB</x:v>
      </x:c>
      <x:c r="K5" s="8" t="str"/>
    </x:row>
    <x:row r="6">
      <x:c r="A6" s="8" t="str">
        <x:v>ST005</x:v>
      </x:c>
      <x:c r="B6" s="8" t="str">
        <x:v>主食/澱粉</x:v>
      </x:c>
      <x:c r="C6" s="8" t="str">
        <x:v>馬鈴薯（蒸）</x:v>
      </x:c>
      <x:c r="D6" s="8" t="str">
        <x:v>熟/可食部</x:v>
      </x:c>
      <x:c r="E6" s="34" t="n">
        <x:v>87</x:v>
      </x:c>
      <x:c r="F6" s="34" t="n">
        <x:v>1.9</x:v>
      </x:c>
      <x:c r="G6" s="34" t="n">
        <x:v>0.1</x:v>
      </x:c>
      <x:c r="H6" s="34" t="n">
        <x:v>20.1</x:v>
      </x:c>
      <x:c r="I6" s="34" t="n">
        <x:v>6</x:v>
      </x:c>
      <x:c r="J6" s="8" t="str">
        <x:v>USDA FDC</x:v>
      </x:c>
      <x:c r="K6" s="8" t="str"/>
    </x:row>
    <x:row r="7">
      <x:c r="A7" s="8" t="str">
        <x:v>ST006</x:v>
      </x:c>
      <x:c r="B7" s="8" t="str">
        <x:v>主食/澱粉</x:v>
      </x:c>
      <x:c r="C7" s="8" t="str">
        <x:v>玉米（熟）</x:v>
      </x:c>
      <x:c r="D7" s="8" t="str">
        <x:v>熟/可食部</x:v>
      </x:c>
      <x:c r="E7" s="34" t="n">
        <x:v>96</x:v>
      </x:c>
      <x:c r="F7" s="34" t="n">
        <x:v>3.4</x:v>
      </x:c>
      <x:c r="G7" s="34" t="n">
        <x:v>1.5</x:v>
      </x:c>
      <x:c r="H7" s="34" t="n">
        <x:v>21</x:v>
      </x:c>
      <x:c r="I7" s="34" t="n">
        <x:v>1</x:v>
      </x:c>
      <x:c r="J7" s="8" t="str">
        <x:v>USDA FDC</x:v>
      </x:c>
      <x:c r="K7" s="8" t="str"/>
    </x:row>
    <x:row r="8">
      <x:c r="A8" s="8" t="str">
        <x:v>ST007</x:v>
      </x:c>
      <x:c r="B8" s="8" t="str">
        <x:v>主食/澱粉</x:v>
      </x:c>
      <x:c r="C8" s="8" t="str">
        <x:v>芋頭（蒸）</x:v>
      </x:c>
      <x:c r="D8" s="8" t="str">
        <x:v>熟/可食部</x:v>
      </x:c>
      <x:c r="E8" s="34" t="n">
        <x:v>112</x:v>
      </x:c>
      <x:c r="F8" s="34" t="n">
        <x:v>1.5</x:v>
      </x:c>
      <x:c r="G8" s="34" t="n">
        <x:v>0.2</x:v>
      </x:c>
      <x:c r="H8" s="34" t="n">
        <x:v>26.5</x:v>
      </x:c>
      <x:c r="I8" s="34" t="n">
        <x:v>11</x:v>
      </x:c>
      <x:c r="J8" s="8" t="str">
        <x:v>USDA FDC / Taiwan FDA nutrition DB</x:v>
      </x:c>
      <x:c r="K8" s="8" t="str"/>
    </x:row>
    <x:row r="9">
      <x:c r="A9" s="8" t="str">
        <x:v>ST008</x:v>
      </x:c>
      <x:c r="B9" s="8" t="str">
        <x:v>主食/澱粉</x:v>
      </x:c>
      <x:c r="C9" s="8" t="str">
        <x:v>南瓜（蒸）</x:v>
      </x:c>
      <x:c r="D9" s="8" t="str">
        <x:v>熟/可食部</x:v>
      </x:c>
      <x:c r="E9" s="34" t="n">
        <x:v>34</x:v>
      </x:c>
      <x:c r="F9" s="34" t="n">
        <x:v>1</x:v>
      </x:c>
      <x:c r="G9" s="34" t="n">
        <x:v>0.1</x:v>
      </x:c>
      <x:c r="H9" s="34" t="n">
        <x:v>8.5</x:v>
      </x:c>
      <x:c r="I9" s="34" t="n">
        <x:v>1</x:v>
      </x:c>
      <x:c r="J9" s="8" t="str">
        <x:v>USDA FDC / Taiwan FDA nutrition DB</x:v>
      </x:c>
      <x:c r="K9" s="8" t="str"/>
    </x:row>
    <x:row r="10">
      <x:c r="A10" s="8" t="str">
        <x:v>ST009</x:v>
      </x:c>
      <x:c r="B10" s="8" t="str">
        <x:v>主食/澱粉</x:v>
      </x:c>
      <x:c r="C10" s="8" t="str">
        <x:v>藜麥（熟）</x:v>
      </x:c>
      <x:c r="D10" s="8" t="str">
        <x:v>熟/可食部</x:v>
      </x:c>
      <x:c r="E10" s="34" t="n">
        <x:v>120</x:v>
      </x:c>
      <x:c r="F10" s="34" t="n">
        <x:v>4.4</x:v>
      </x:c>
      <x:c r="G10" s="34" t="n">
        <x:v>1.9</x:v>
      </x:c>
      <x:c r="H10" s="34" t="n">
        <x:v>21.3</x:v>
      </x:c>
      <x:c r="I10" s="34" t="n">
        <x:v>7</x:v>
      </x:c>
      <x:c r="J10" s="8" t="str">
        <x:v>USDA FDC</x:v>
      </x:c>
      <x:c r="K10" s="8" t="str"/>
    </x:row>
    <x:row r="11">
      <x:c r="A11" s="8" t="str">
        <x:v>ST010</x:v>
      </x:c>
      <x:c r="B11" s="8" t="str">
        <x:v>主食/澱粉</x:v>
      </x:c>
      <x:c r="C11" s="8" t="str">
        <x:v>白米（生）</x:v>
      </x:c>
      <x:c r="D11" s="8" t="str">
        <x:v>生/乾重</x:v>
      </x:c>
      <x:c r="E11" s="34" t="n">
        <x:v>365</x:v>
      </x:c>
      <x:c r="F11" s="34" t="n">
        <x:v>7.1</x:v>
      </x:c>
      <x:c r="G11" s="34" t="n">
        <x:v>0.7</x:v>
      </x:c>
      <x:c r="H11" s="34" t="n">
        <x:v>80</x:v>
      </x:c>
      <x:c r="I11" s="34" t="n">
        <x:v>5</x:v>
      </x:c>
      <x:c r="J11" s="8" t="str">
        <x:v>USDA FDC</x:v>
      </x:c>
      <x:c r="K11" s="8" t="str">
        <x:v>工程/營養師用；一般用戶不建議用生重</x:v>
      </x:c>
    </x:row>
    <x:row r="12">
      <x:c r="A12" s="8" t="str">
        <x:v>ST011</x:v>
      </x:c>
      <x:c r="B12" s="8" t="str">
        <x:v>主食/澱粉</x:v>
      </x:c>
      <x:c r="C12" s="8" t="str">
        <x:v>糙米（生）</x:v>
      </x:c>
      <x:c r="D12" s="8" t="str">
        <x:v>生/乾重</x:v>
      </x:c>
      <x:c r="E12" s="34" t="n">
        <x:v>370</x:v>
      </x:c>
      <x:c r="F12" s="34" t="n">
        <x:v>7.9</x:v>
      </x:c>
      <x:c r="G12" s="34" t="n">
        <x:v>2.9</x:v>
      </x:c>
      <x:c r="H12" s="34" t="n">
        <x:v>77.2</x:v>
      </x:c>
      <x:c r="I12" s="34" t="n">
        <x:v>7</x:v>
      </x:c>
      <x:c r="J12" s="8" t="str">
        <x:v>USDA FDC</x:v>
      </x:c>
      <x:c r="K12" s="8" t="str">
        <x:v>工程/營養師用；一般用戶不建議用生重</x:v>
      </x:c>
    </x:row>
    <x:row r="13">
      <x:c r="A13" s="8" t="str">
        <x:v>ST012</x:v>
      </x:c>
      <x:c r="B13" s="8" t="str">
        <x:v>主食/澱粉</x:v>
      </x:c>
      <x:c r="C13" s="8" t="str">
        <x:v>麵條（熟）</x:v>
      </x:c>
      <x:c r="D13" s="8" t="str">
        <x:v>熟/可食部</x:v>
      </x:c>
      <x:c r="E13" s="34" t="n">
        <x:v>138</x:v>
      </x:c>
      <x:c r="F13" s="34" t="n">
        <x:v>4.5</x:v>
      </x:c>
      <x:c r="G13" s="34" t="n">
        <x:v>2.1</x:v>
      </x:c>
      <x:c r="H13" s="34" t="n">
        <x:v>25</x:v>
      </x:c>
      <x:c r="I13" s="34" t="n">
        <x:v>5</x:v>
      </x:c>
      <x:c r="J13" s="8" t="str">
        <x:v>USDA FDC</x:v>
      </x:c>
      <x:c r="K13" s="8" t="str">
        <x:v>清麵條；若有油/醬另加</x:v>
      </x:c>
    </x:row>
    <x:row r="14">
      <x:c r="A14" s="8" t="str">
        <x:v>ST013</x:v>
      </x:c>
      <x:c r="B14" s="8" t="str">
        <x:v>主食/澱粉</x:v>
      </x:c>
      <x:c r="C14" s="8" t="str">
        <x:v>義大利麵（熟）</x:v>
      </x:c>
      <x:c r="D14" s="8" t="str">
        <x:v>熟/可食部</x:v>
      </x:c>
      <x:c r="E14" s="34" t="n">
        <x:v>158</x:v>
      </x:c>
      <x:c r="F14" s="34" t="n">
        <x:v>5.8</x:v>
      </x:c>
      <x:c r="G14" s="34" t="n">
        <x:v>0.9</x:v>
      </x:c>
      <x:c r="H14" s="34" t="n">
        <x:v>30.9</x:v>
      </x:c>
      <x:c r="I14" s="34" t="n">
        <x:v>1</x:v>
      </x:c>
      <x:c r="J14" s="8" t="str">
        <x:v>USDA FDC</x:v>
      </x:c>
      <x:c r="K14" s="8" t="str">
        <x:v>清水煮，未加醬</x:v>
      </x:c>
    </x:row>
    <x:row r="15">
      <x:c r="A15" s="8" t="str">
        <x:v>ST014</x:v>
      </x:c>
      <x:c r="B15" s="8" t="str">
        <x:v>主食/澱粉</x:v>
      </x:c>
      <x:c r="C15" s="8" t="str">
        <x:v>冬粉（熟）</x:v>
      </x:c>
      <x:c r="D15" s="8" t="str">
        <x:v>熟/可食部</x:v>
      </x:c>
      <x:c r="E15" s="34" t="n">
        <x:v>80</x:v>
      </x:c>
      <x:c r="F15" s="34" t="n">
        <x:v>0.1</x:v>
      </x:c>
      <x:c r="G15" s="34" t="n">
        <x:v>0</x:v>
      </x:c>
      <x:c r="H15" s="34" t="n">
        <x:v>20</x:v>
      </x:c>
      <x:c r="I15" s="34" t="n">
        <x:v>5</x:v>
      </x:c>
      <x:c r="J15" s="8" t="str">
        <x:v>Taiwan FDA nutrition DB / estimate</x:v>
      </x:c>
      <x:c r="K15" s="8" t="str">
        <x:v>品牌差異大，建議後續拆品牌</x:v>
      </x:c>
    </x:row>
    <x:row r="16">
      <x:c r="A16" s="8" t="str">
        <x:v>ST015</x:v>
      </x:c>
      <x:c r="B16" s="8" t="str">
        <x:v>主食/澱粉</x:v>
      </x:c>
      <x:c r="C16" s="8" t="str">
        <x:v>山藥（熟）</x:v>
      </x:c>
      <x:c r="D16" s="8" t="str">
        <x:v>熟/可食部</x:v>
      </x:c>
      <x:c r="E16" s="34" t="n">
        <x:v>118</x:v>
      </x:c>
      <x:c r="F16" s="34" t="n">
        <x:v>1.5</x:v>
      </x:c>
      <x:c r="G16" s="34" t="n">
        <x:v>0.2</x:v>
      </x:c>
      <x:c r="H16" s="34" t="n">
        <x:v>27.9</x:v>
      </x:c>
      <x:c r="I16" s="34" t="n">
        <x:v>9</x:v>
      </x:c>
      <x:c r="J16" s="8" t="str">
        <x:v>USDA FDC / Taiwan FDA nutrition DB</x:v>
      </x:c>
      <x:c r="K16" s="8" t="str"/>
    </x:row>
    <x:row r="17">
      <x:c r="A17" s="8" t="str">
        <x:v>ME001</x:v>
      </x:c>
      <x:c r="B17" s="8" t="str">
        <x:v>肉類/蛋白質</x:v>
      </x:c>
      <x:c r="C17" s="8" t="str">
        <x:v>雞胸肉（熟去皮）</x:v>
      </x:c>
      <x:c r="D17" s="8" t="str">
        <x:v>熟/可食部</x:v>
      </x:c>
      <x:c r="E17" s="34" t="n">
        <x:v>165</x:v>
      </x:c>
      <x:c r="F17" s="34" t="n">
        <x:v>31</x:v>
      </x:c>
      <x:c r="G17" s="34" t="n">
        <x:v>3.6</x:v>
      </x:c>
      <x:c r="H17" s="34" t="n">
        <x:v>0</x:v>
      </x:c>
      <x:c r="I17" s="34" t="n">
        <x:v>74</x:v>
      </x:c>
      <x:c r="J17" s="8" t="str">
        <x:v>USDA FDC / Taiwan FDA nutrition DB</x:v>
      </x:c>
      <x:c r="K17" s="8" t="str">
        <x:v>健身餐主力，可作預設雞胸</x:v>
      </x:c>
    </x:row>
    <x:row r="18">
      <x:c r="A18" s="8" t="str">
        <x:v>ME002</x:v>
      </x:c>
      <x:c r="B18" s="8" t="str">
        <x:v>肉類/蛋白質</x:v>
      </x:c>
      <x:c r="C18" s="8" t="str">
        <x:v>雞腿肉（熟去皮）</x:v>
      </x:c>
      <x:c r="D18" s="8" t="str">
        <x:v>熟/可食部</x:v>
      </x:c>
      <x:c r="E18" s="34" t="n">
        <x:v>209</x:v>
      </x:c>
      <x:c r="F18" s="34" t="n">
        <x:v>26</x:v>
      </x:c>
      <x:c r="G18" s="34" t="n">
        <x:v>10.9</x:v>
      </x:c>
      <x:c r="H18" s="34" t="n">
        <x:v>0</x:v>
      </x:c>
      <x:c r="I18" s="34" t="n">
        <x:v>82</x:v>
      </x:c>
      <x:c r="J18" s="8" t="str">
        <x:v>USDA FDC</x:v>
      </x:c>
      <x:c r="K18" s="8" t="str"/>
    </x:row>
    <x:row r="19">
      <x:c r="A19" s="8" t="str">
        <x:v>ME003</x:v>
      </x:c>
      <x:c r="B19" s="8" t="str">
        <x:v>肉類/蛋白質</x:v>
      </x:c>
      <x:c r="C19" s="8" t="str">
        <x:v>雞翅（熟）</x:v>
      </x:c>
      <x:c r="D19" s="8" t="str">
        <x:v>熟/可食部</x:v>
      </x:c>
      <x:c r="E19" s="34" t="n">
        <x:v>254</x:v>
      </x:c>
      <x:c r="F19" s="34" t="n">
        <x:v>23.8</x:v>
      </x:c>
      <x:c r="G19" s="34" t="n">
        <x:v>16.9</x:v>
      </x:c>
      <x:c r="H19" s="34" t="n">
        <x:v>0</x:v>
      </x:c>
      <x:c r="I19" s="34" t="n">
        <x:v>87</x:v>
      </x:c>
      <x:c r="J19" s="8" t="str">
        <x:v>USDA FDC</x:v>
      </x:c>
      <x:c r="K19" s="8" t="str">
        <x:v>含皮版本偏高脂</x:v>
      </x:c>
    </x:row>
    <x:row r="20">
      <x:c r="A20" s="8" t="str">
        <x:v>ME004</x:v>
      </x:c>
      <x:c r="B20" s="8" t="str">
        <x:v>肉類/蛋白質</x:v>
      </x:c>
      <x:c r="C20" s="8" t="str">
        <x:v>豬里肌（熟）</x:v>
      </x:c>
      <x:c r="D20" s="8" t="str">
        <x:v>熟/可食部</x:v>
      </x:c>
      <x:c r="E20" s="34" t="n">
        <x:v>196</x:v>
      </x:c>
      <x:c r="F20" s="34" t="n">
        <x:v>29.3</x:v>
      </x:c>
      <x:c r="G20" s="34" t="n">
        <x:v>7.1</x:v>
      </x:c>
      <x:c r="H20" s="34" t="n">
        <x:v>0</x:v>
      </x:c>
      <x:c r="I20" s="34" t="n">
        <x:v>63</x:v>
      </x:c>
      <x:c r="J20" s="8" t="str">
        <x:v>USDA FDC / Taiwan FDA nutrition DB</x:v>
      </x:c>
      <x:c r="K20" s="8" t="str"/>
    </x:row>
    <x:row r="21">
      <x:c r="A21" s="8" t="str">
        <x:v>ME005</x:v>
      </x:c>
      <x:c r="B21" s="8" t="str">
        <x:v>肉類/蛋白質</x:v>
      </x:c>
      <x:c r="C21" s="8" t="str">
        <x:v>豬梅花肉（熟）</x:v>
      </x:c>
      <x:c r="D21" s="8" t="str">
        <x:v>熟/可食部</x:v>
      </x:c>
      <x:c r="E21" s="34" t="n">
        <x:v>291</x:v>
      </x:c>
      <x:c r="F21" s="34" t="n">
        <x:v>27</x:v>
      </x:c>
      <x:c r="G21" s="34" t="n">
        <x:v>18</x:v>
      </x:c>
      <x:c r="H21" s="34" t="n">
        <x:v>0</x:v>
      </x:c>
      <x:c r="I21" s="34" t="n">
        <x:v>64</x:v>
      </x:c>
      <x:c r="J21" s="8" t="str">
        <x:v>USDA FDC / estimate</x:v>
      </x:c>
      <x:c r="K21" s="8" t="str">
        <x:v>脂肪波動很大</x:v>
      </x:c>
    </x:row>
    <x:row r="22">
      <x:c r="A22" s="8" t="str">
        <x:v>ME006</x:v>
      </x:c>
      <x:c r="B22" s="8" t="str">
        <x:v>肉類/蛋白質</x:v>
      </x:c>
      <x:c r="C22" s="8" t="str">
        <x:v>豬五花肉（熟）</x:v>
      </x:c>
      <x:c r="D22" s="8" t="str">
        <x:v>熟/可食部</x:v>
      </x:c>
      <x:c r="E22" s="34" t="n">
        <x:v>518</x:v>
      </x:c>
      <x:c r="F22" s="34" t="n">
        <x:v>9.3</x:v>
      </x:c>
      <x:c r="G22" s="34" t="n">
        <x:v>53</x:v>
      </x:c>
      <x:c r="H22" s="34" t="n">
        <x:v>0</x:v>
      </x:c>
      <x:c r="I22" s="34" t="n">
        <x:v>32</x:v>
      </x:c>
      <x:c r="J22" s="8" t="str">
        <x:v>USDA FDC / Taiwan FDA nutrition DB</x:v>
      </x:c>
      <x:c r="K22" s="8" t="str">
        <x:v>高脂，厚薄差異很大</x:v>
      </x:c>
    </x:row>
    <x:row r="23">
      <x:c r="A23" s="8" t="str">
        <x:v>ME007</x:v>
      </x:c>
      <x:c r="B23" s="8" t="str">
        <x:v>肉類/蛋白質</x:v>
      </x:c>
      <x:c r="C23" s="8" t="str">
        <x:v>牛腱（熟）</x:v>
      </x:c>
      <x:c r="D23" s="8" t="str">
        <x:v>熟/可食部</x:v>
      </x:c>
      <x:c r="E23" s="34" t="n">
        <x:v>192</x:v>
      </x:c>
      <x:c r="F23" s="34" t="n">
        <x:v>30.7</x:v>
      </x:c>
      <x:c r="G23" s="34" t="n">
        <x:v>6.2</x:v>
      </x:c>
      <x:c r="H23" s="34" t="n">
        <x:v>0</x:v>
      </x:c>
      <x:c r="I23" s="34" t="n">
        <x:v>65</x:v>
      </x:c>
      <x:c r="J23" s="8" t="str">
        <x:v>USDA FDC / Taiwan FDA nutrition DB</x:v>
      </x:c>
      <x:c r="K23" s="8" t="str"/>
    </x:row>
    <x:row r="24">
      <x:c r="A24" s="8" t="str">
        <x:v>ME008</x:v>
      </x:c>
      <x:c r="B24" s="8" t="str">
        <x:v>肉類/蛋白質</x:v>
      </x:c>
      <x:c r="C24" s="8" t="str">
        <x:v>牛里肌（熟）</x:v>
      </x:c>
      <x:c r="D24" s="8" t="str">
        <x:v>熟/可食部</x:v>
      </x:c>
      <x:c r="E24" s="34" t="n">
        <x:v>217</x:v>
      </x:c>
      <x:c r="F24" s="34" t="n">
        <x:v>26.1</x:v>
      </x:c>
      <x:c r="G24" s="34" t="n">
        <x:v>10.8</x:v>
      </x:c>
      <x:c r="H24" s="34" t="n">
        <x:v>0</x:v>
      </x:c>
      <x:c r="I24" s="34" t="n">
        <x:v>57</x:v>
      </x:c>
      <x:c r="J24" s="8" t="str">
        <x:v>USDA FDC</x:v>
      </x:c>
      <x:c r="K24" s="8" t="str"/>
    </x:row>
    <x:row r="25">
      <x:c r="A25" s="8" t="str">
        <x:v>ME009</x:v>
      </x:c>
      <x:c r="B25" s="8" t="str">
        <x:v>肉類/蛋白質</x:v>
      </x:c>
      <x:c r="C25" s="8" t="str">
        <x:v>牛絞肉85%瘦（熟）</x:v>
      </x:c>
      <x:c r="D25" s="8" t="str">
        <x:v>熟/可食部</x:v>
      </x:c>
      <x:c r="E25" s="34" t="n">
        <x:v>250</x:v>
      </x:c>
      <x:c r="F25" s="34" t="n">
        <x:v>26</x:v>
      </x:c>
      <x:c r="G25" s="34" t="n">
        <x:v>15</x:v>
      </x:c>
      <x:c r="H25" s="34" t="n">
        <x:v>0</x:v>
      </x:c>
      <x:c r="I25" s="34" t="n">
        <x:v>72</x:v>
      </x:c>
      <x:c r="J25" s="8" t="str">
        <x:v>USDA FDC</x:v>
      </x:c>
      <x:c r="K25" s="8" t="str">
        <x:v>漢堡排需另加油/醬/麵包粉</x:v>
      </x:c>
    </x:row>
    <x:row r="26">
      <x:c r="A26" s="8" t="str">
        <x:v>ME010</x:v>
      </x:c>
      <x:c r="B26" s="8" t="str">
        <x:v>肉類/蛋白質</x:v>
      </x:c>
      <x:c r="C26" s="8" t="str">
        <x:v>羊腿瘦肉（熟）</x:v>
      </x:c>
      <x:c r="D26" s="8" t="str">
        <x:v>熟/可食部</x:v>
      </x:c>
      <x:c r="E26" s="34" t="n">
        <x:v>206</x:v>
      </x:c>
      <x:c r="F26" s="34" t="n">
        <x:v>28.2</x:v>
      </x:c>
      <x:c r="G26" s="34" t="n">
        <x:v>9.2</x:v>
      </x:c>
      <x:c r="H26" s="34" t="n">
        <x:v>0</x:v>
      </x:c>
      <x:c r="I26" s="34" t="n">
        <x:v>65</x:v>
      </x:c>
      <x:c r="J26" s="8" t="str">
        <x:v>USDA FDC</x:v>
      </x:c>
      <x:c r="K26" s="8" t="str"/>
    </x:row>
    <x:row r="27">
      <x:c r="A27" s="8" t="str">
        <x:v>ME011</x:v>
      </x:c>
      <x:c r="B27" s="8" t="str">
        <x:v>肉類/蛋白質</x:v>
      </x:c>
      <x:c r="C27" s="8" t="str">
        <x:v>鴨胸（熟去皮）</x:v>
      </x:c>
      <x:c r="D27" s="8" t="str">
        <x:v>熟/可食部</x:v>
      </x:c>
      <x:c r="E27" s="34" t="n">
        <x:v>201</x:v>
      </x:c>
      <x:c r="F27" s="34" t="n">
        <x:v>23.5</x:v>
      </x:c>
      <x:c r="G27" s="34" t="n">
        <x:v>11.2</x:v>
      </x:c>
      <x:c r="H27" s="34" t="n">
        <x:v>0</x:v>
      </x:c>
      <x:c r="I27" s="34" t="n">
        <x:v>74</x:v>
      </x:c>
      <x:c r="J27" s="8" t="str">
        <x:v>USDA FDC / estimate</x:v>
      </x:c>
      <x:c r="K27" s="8" t="str"/>
    </x:row>
    <x:row r="28">
      <x:c r="A28" s="8" t="str">
        <x:v>ME012</x:v>
      </x:c>
      <x:c r="B28" s="8" t="str">
        <x:v>蛋類</x:v>
      </x:c>
      <x:c r="C28" s="8" t="str">
        <x:v>雞蛋（全蛋）</x:v>
      </x:c>
      <x:c r="D28" s="8" t="str">
        <x:v>生/可食部</x:v>
      </x:c>
      <x:c r="E28" s="34" t="n">
        <x:v>143</x:v>
      </x:c>
      <x:c r="F28" s="34" t="n">
        <x:v>12.6</x:v>
      </x:c>
      <x:c r="G28" s="34" t="n">
        <x:v>9.5</x:v>
      </x:c>
      <x:c r="H28" s="34" t="n">
        <x:v>0.7</x:v>
      </x:c>
      <x:c r="I28" s="34" t="n">
        <x:v>142</x:v>
      </x:c>
      <x:c r="J28" s="8" t="str">
        <x:v>USDA FDC / Taiwan FDA nutrition DB</x:v>
      </x:c>
      <x:c r="K28" s="8" t="str">
        <x:v>一顆大約 50g</x:v>
      </x:c>
    </x:row>
    <x:row r="29">
      <x:c r="A29" s="8" t="str">
        <x:v>ME013</x:v>
      </x:c>
      <x:c r="B29" s="8" t="str">
        <x:v>蛋類</x:v>
      </x:c>
      <x:c r="C29" s="8" t="str">
        <x:v>蛋白</x:v>
      </x:c>
      <x:c r="D29" s="8" t="str">
        <x:v>生/可食部</x:v>
      </x:c>
      <x:c r="E29" s="34" t="n">
        <x:v>52</x:v>
      </x:c>
      <x:c r="F29" s="34" t="n">
        <x:v>10.9</x:v>
      </x:c>
      <x:c r="G29" s="34" t="n">
        <x:v>0.2</x:v>
      </x:c>
      <x:c r="H29" s="34" t="n">
        <x:v>0.7</x:v>
      </x:c>
      <x:c r="I29" s="34" t="n">
        <x:v>166</x:v>
      </x:c>
      <x:c r="J29" s="8" t="str">
        <x:v>USDA FDC</x:v>
      </x:c>
      <x:c r="K29" s="8" t="str"/>
    </x:row>
    <x:row r="30">
      <x:c r="A30" s="8" t="str">
        <x:v>ME014</x:v>
      </x:c>
      <x:c r="B30" s="8" t="str">
        <x:v>蛋類</x:v>
      </x:c>
      <x:c r="C30" s="8" t="str">
        <x:v>蛋黃</x:v>
      </x:c>
      <x:c r="D30" s="8" t="str">
        <x:v>生/可食部</x:v>
      </x:c>
      <x:c r="E30" s="34" t="n">
        <x:v>322</x:v>
      </x:c>
      <x:c r="F30" s="34" t="n">
        <x:v>15.9</x:v>
      </x:c>
      <x:c r="G30" s="34" t="n">
        <x:v>26.5</x:v>
      </x:c>
      <x:c r="H30" s="34" t="n">
        <x:v>3.6</x:v>
      </x:c>
      <x:c r="I30" s="34" t="n">
        <x:v>48</x:v>
      </x:c>
      <x:c r="J30" s="8" t="str">
        <x:v>USDA FDC</x:v>
      </x:c>
      <x:c r="K30" s="8" t="str"/>
    </x:row>
    <x:row r="31">
      <x:c r="A31" s="8" t="str">
        <x:v>SF001</x:v>
      </x:c>
      <x:c r="B31" s="8" t="str">
        <x:v>海鮮/魚類</x:v>
      </x:c>
      <x:c r="C31" s="8" t="str">
        <x:v>鮭魚（熟）</x:v>
      </x:c>
      <x:c r="D31" s="8" t="str">
        <x:v>熟/可食部</x:v>
      </x:c>
      <x:c r="E31" s="34" t="n">
        <x:v>206</x:v>
      </x:c>
      <x:c r="F31" s="34" t="n">
        <x:v>22.1</x:v>
      </x:c>
      <x:c r="G31" s="34" t="n">
        <x:v>12.4</x:v>
      </x:c>
      <x:c r="H31" s="34" t="n">
        <x:v>0</x:v>
      </x:c>
      <x:c r="I31" s="34" t="n">
        <x:v>59</x:v>
      </x:c>
      <x:c r="J31" s="8" t="str">
        <x:v>USDA FDC / Taiwan FDA nutrition DB</x:v>
      </x:c>
      <x:c r="K31" s="8" t="str"/>
    </x:row>
    <x:row r="32">
      <x:c r="A32" s="8" t="str">
        <x:v>SF002</x:v>
      </x:c>
      <x:c r="B32" s="8" t="str">
        <x:v>海鮮/魚類</x:v>
      </x:c>
      <x:c r="C32" s="8" t="str">
        <x:v>鯖魚（熟）</x:v>
      </x:c>
      <x:c r="D32" s="8" t="str">
        <x:v>熟/可食部</x:v>
      </x:c>
      <x:c r="E32" s="34" t="n">
        <x:v>262</x:v>
      </x:c>
      <x:c r="F32" s="34" t="n">
        <x:v>23.9</x:v>
      </x:c>
      <x:c r="G32" s="34" t="n">
        <x:v>17.8</x:v>
      </x:c>
      <x:c r="H32" s="34" t="n">
        <x:v>0</x:v>
      </x:c>
      <x:c r="I32" s="34" t="n">
        <x:v>83</x:v>
      </x:c>
      <x:c r="J32" s="8" t="str">
        <x:v>USDA FDC / Taiwan FDA nutrition DB</x:v>
      </x:c>
      <x:c r="K32" s="8" t="str"/>
    </x:row>
    <x:row r="33">
      <x:c r="A33" s="8" t="str">
        <x:v>SF003</x:v>
      </x:c>
      <x:c r="B33" s="8" t="str">
        <x:v>海鮮/魚類</x:v>
      </x:c>
      <x:c r="C33" s="8" t="str">
        <x:v>鮪魚（熟）</x:v>
      </x:c>
      <x:c r="D33" s="8" t="str">
        <x:v>熟/可食部</x:v>
      </x:c>
      <x:c r="E33" s="34" t="n">
        <x:v>132</x:v>
      </x:c>
      <x:c r="F33" s="34" t="n">
        <x:v>29.9</x:v>
      </x:c>
      <x:c r="G33" s="34" t="n">
        <x:v>1.3</x:v>
      </x:c>
      <x:c r="H33" s="34" t="n">
        <x:v>0</x:v>
      </x:c>
      <x:c r="I33" s="34" t="n">
        <x:v>47</x:v>
      </x:c>
      <x:c r="J33" s="8" t="str">
        <x:v>USDA FDC</x:v>
      </x:c>
      <x:c r="K33" s="8" t="str"/>
    </x:row>
    <x:row r="34">
      <x:c r="A34" s="8" t="str">
        <x:v>SF004</x:v>
      </x:c>
      <x:c r="B34" s="8" t="str">
        <x:v>海鮮/魚類</x:v>
      </x:c>
      <x:c r="C34" s="8" t="str">
        <x:v>鱈魚（熟）</x:v>
      </x:c>
      <x:c r="D34" s="8" t="str">
        <x:v>熟/可食部</x:v>
      </x:c>
      <x:c r="E34" s="34" t="n">
        <x:v>105</x:v>
      </x:c>
      <x:c r="F34" s="34" t="n">
        <x:v>22.8</x:v>
      </x:c>
      <x:c r="G34" s="34" t="n">
        <x:v>0.9</x:v>
      </x:c>
      <x:c r="H34" s="34" t="n">
        <x:v>0</x:v>
      </x:c>
      <x:c r="I34" s="34" t="n">
        <x:v>54</x:v>
      </x:c>
      <x:c r="J34" s="8" t="str">
        <x:v>USDA FDC</x:v>
      </x:c>
      <x:c r="K34" s="8" t="str"/>
    </x:row>
    <x:row r="35">
      <x:c r="A35" s="8" t="str">
        <x:v>SF005</x:v>
      </x:c>
      <x:c r="B35" s="8" t="str">
        <x:v>海鮮/魚類</x:v>
      </x:c>
      <x:c r="C35" s="8" t="str">
        <x:v>鯛魚（熟）</x:v>
      </x:c>
      <x:c r="D35" s="8" t="str">
        <x:v>熟/可食部</x:v>
      </x:c>
      <x:c r="E35" s="34" t="n">
        <x:v>128</x:v>
      </x:c>
      <x:c r="F35" s="34" t="n">
        <x:v>26.2</x:v>
      </x:c>
      <x:c r="G35" s="34" t="n">
        <x:v>2.6</x:v>
      </x:c>
      <x:c r="H35" s="34" t="n">
        <x:v>0</x:v>
      </x:c>
      <x:c r="I35" s="34" t="n">
        <x:v>56</x:v>
      </x:c>
      <x:c r="J35" s="8" t="str">
        <x:v>USDA FDC / estimate</x:v>
      </x:c>
      <x:c r="K35" s="8" t="str"/>
    </x:row>
    <x:row r="36">
      <x:c r="A36" s="8" t="str">
        <x:v>SF006</x:v>
      </x:c>
      <x:c r="B36" s="8" t="str">
        <x:v>海鮮/魚類</x:v>
      </x:c>
      <x:c r="C36" s="8" t="str">
        <x:v>虱目魚（熟）</x:v>
      </x:c>
      <x:c r="D36" s="8" t="str">
        <x:v>熟/可食部</x:v>
      </x:c>
      <x:c r="E36" s="34" t="n">
        <x:v>190</x:v>
      </x:c>
      <x:c r="F36" s="34" t="n">
        <x:v>22</x:v>
      </x:c>
      <x:c r="G36" s="34" t="n">
        <x:v>11</x:v>
      </x:c>
      <x:c r="H36" s="34" t="n">
        <x:v>0</x:v>
      </x:c>
      <x:c r="I36" s="34" t="n">
        <x:v>90</x:v>
      </x:c>
      <x:c r="J36" s="8" t="str">
        <x:v>Taiwan FDA nutrition DB / estimate</x:v>
      </x:c>
      <x:c r="K36" s="8" t="str">
        <x:v>脂肪部位差異大</x:v>
      </x:c>
    </x:row>
    <x:row r="37">
      <x:c r="A37" s="8" t="str">
        <x:v>SF007</x:v>
      </x:c>
      <x:c r="B37" s="8" t="str">
        <x:v>海鮮/魚類</x:v>
      </x:c>
      <x:c r="C37" s="8" t="str">
        <x:v>蝦仁（熟）</x:v>
      </x:c>
      <x:c r="D37" s="8" t="str">
        <x:v>熟/可食部</x:v>
      </x:c>
      <x:c r="E37" s="34" t="n">
        <x:v>99</x:v>
      </x:c>
      <x:c r="F37" s="34" t="n">
        <x:v>24</x:v>
      </x:c>
      <x:c r="G37" s="34" t="n">
        <x:v>0.3</x:v>
      </x:c>
      <x:c r="H37" s="34" t="n">
        <x:v>0.2</x:v>
      </x:c>
      <x:c r="I37" s="34" t="n">
        <x:v>111</x:v>
      </x:c>
      <x:c r="J37" s="8" t="str">
        <x:v>USDA FDC</x:v>
      </x:c>
      <x:c r="K37" s="8" t="str"/>
    </x:row>
    <x:row r="38">
      <x:c r="A38" s="8" t="str">
        <x:v>SF008</x:v>
      </x:c>
      <x:c r="B38" s="8" t="str">
        <x:v>海鮮/魚類</x:v>
      </x:c>
      <x:c r="C38" s="8" t="str">
        <x:v>蛤蜊（熟）</x:v>
      </x:c>
      <x:c r="D38" s="8" t="str">
        <x:v>熟/可食部</x:v>
      </x:c>
      <x:c r="E38" s="34" t="n">
        <x:v>148</x:v>
      </x:c>
      <x:c r="F38" s="34" t="n">
        <x:v>25.5</x:v>
      </x:c>
      <x:c r="G38" s="34" t="n">
        <x:v>2</x:v>
      </x:c>
      <x:c r="H38" s="34" t="n">
        <x:v>5.1</x:v>
      </x:c>
      <x:c r="I38" s="34" t="n">
        <x:v>1202</x:v>
      </x:c>
      <x:c r="J38" s="8" t="str">
        <x:v>USDA FDC</x:v>
      </x:c>
      <x:c r="K38" s="8" t="str">
        <x:v>天然鈉偏高；湯汁若喝下需計入</x:v>
      </x:c>
    </x:row>
    <x:row r="39">
      <x:c r="A39" s="8" t="str">
        <x:v>SF009</x:v>
      </x:c>
      <x:c r="B39" s="8" t="str">
        <x:v>海鮮/魚類</x:v>
      </x:c>
      <x:c r="C39" s="8" t="str">
        <x:v>魷魚（熟）</x:v>
      </x:c>
      <x:c r="D39" s="8" t="str">
        <x:v>熟/可食部</x:v>
      </x:c>
      <x:c r="E39" s="34" t="n">
        <x:v>92</x:v>
      </x:c>
      <x:c r="F39" s="34" t="n">
        <x:v>15.6</x:v>
      </x:c>
      <x:c r="G39" s="34" t="n">
        <x:v>1.4</x:v>
      </x:c>
      <x:c r="H39" s="34" t="n">
        <x:v>3.1</x:v>
      </x:c>
      <x:c r="I39" s="34" t="n">
        <x:v>44</x:v>
      </x:c>
      <x:c r="J39" s="8" t="str">
        <x:v>USDA FDC</x:v>
      </x:c>
      <x:c r="K39" s="8" t="str"/>
    </x:row>
    <x:row r="40">
      <x:c r="A40" s="8" t="str">
        <x:v>SF010</x:v>
      </x:c>
      <x:c r="B40" s="8" t="str">
        <x:v>海鮮/魚類</x:v>
      </x:c>
      <x:c r="C40" s="8" t="str">
        <x:v>牡蠣（熟）</x:v>
      </x:c>
      <x:c r="D40" s="8" t="str">
        <x:v>熟/可食部</x:v>
      </x:c>
      <x:c r="E40" s="34" t="n">
        <x:v>79</x:v>
      </x:c>
      <x:c r="F40" s="34" t="n">
        <x:v>9</x:v>
      </x:c>
      <x:c r="G40" s="34" t="n">
        <x:v>2.3</x:v>
      </x:c>
      <x:c r="H40" s="34" t="n">
        <x:v>4.8</x:v>
      </x:c>
      <x:c r="I40" s="34" t="n">
        <x:v>106</x:v>
      </x:c>
      <x:c r="J40" s="8" t="str">
        <x:v>USDA FDC</x:v>
      </x:c>
      <x:c r="K40" s="8" t="str"/>
    </x:row>
    <x:row r="41">
      <x:c r="A41" s="8" t="str">
        <x:v>SO001</x:v>
      </x:c>
      <x:c r="B41" s="8" t="str">
        <x:v>豆類/植物蛋白</x:v>
      </x:c>
      <x:c r="C41" s="8" t="str">
        <x:v>板豆腐</x:v>
      </x:c>
      <x:c r="D41" s="8" t="str">
        <x:v>可食部</x:v>
      </x:c>
      <x:c r="E41" s="34" t="n">
        <x:v>76</x:v>
      </x:c>
      <x:c r="F41" s="34" t="n">
        <x:v>8.1</x:v>
      </x:c>
      <x:c r="G41" s="34" t="n">
        <x:v>4.8</x:v>
      </x:c>
      <x:c r="H41" s="34" t="n">
        <x:v>1.9</x:v>
      </x:c>
      <x:c r="I41" s="34" t="n">
        <x:v>7</x:v>
      </x:c>
      <x:c r="J41" s="8" t="str">
        <x:v>USDA FDC / Taiwan FDA nutrition DB</x:v>
      </x:c>
      <x:c r="K41" s="8" t="str">
        <x:v>滷豆腐需另加鈉/醬汁</x:v>
      </x:c>
    </x:row>
    <x:row r="42">
      <x:c r="A42" s="8" t="str">
        <x:v>SO002</x:v>
      </x:c>
      <x:c r="B42" s="8" t="str">
        <x:v>豆類/植物蛋白</x:v>
      </x:c>
      <x:c r="C42" s="8" t="str">
        <x:v>嫩豆腐</x:v>
      </x:c>
      <x:c r="D42" s="8" t="str">
        <x:v>可食部</x:v>
      </x:c>
      <x:c r="E42" s="34" t="n">
        <x:v>55</x:v>
      </x:c>
      <x:c r="F42" s="34" t="n">
        <x:v>4.8</x:v>
      </x:c>
      <x:c r="G42" s="34" t="n">
        <x:v>2.7</x:v>
      </x:c>
      <x:c r="H42" s="34" t="n">
        <x:v>1.2</x:v>
      </x:c>
      <x:c r="I42" s="34" t="n">
        <x:v>7</x:v>
      </x:c>
      <x:c r="J42" s="8" t="str">
        <x:v>USDA FDC / Taiwan FDA nutrition DB</x:v>
      </x:c>
      <x:c r="K42" s="8" t="str"/>
    </x:row>
    <x:row r="43">
      <x:c r="A43" s="8" t="str">
        <x:v>SO003</x:v>
      </x:c>
      <x:c r="B43" s="8" t="str">
        <x:v>豆類/植物蛋白</x:v>
      </x:c>
      <x:c r="C43" s="8" t="str">
        <x:v>毛豆（熟）</x:v>
      </x:c>
      <x:c r="D43" s="8" t="str">
        <x:v>熟/可食部</x:v>
      </x:c>
      <x:c r="E43" s="34" t="n">
        <x:v>121</x:v>
      </x:c>
      <x:c r="F43" s="34" t="n">
        <x:v>11.9</x:v>
      </x:c>
      <x:c r="G43" s="34" t="n">
        <x:v>5.2</x:v>
      </x:c>
      <x:c r="H43" s="34" t="n">
        <x:v>8.9</x:v>
      </x:c>
      <x:c r="I43" s="34" t="n">
        <x:v>6</x:v>
      </x:c>
      <x:c r="J43" s="8" t="str">
        <x:v>USDA FDC / Taiwan FDA nutrition DB</x:v>
      </x:c>
      <x:c r="K43" s="8" t="str"/>
    </x:row>
    <x:row r="44">
      <x:c r="A44" s="8" t="str">
        <x:v>SO004</x:v>
      </x:c>
      <x:c r="B44" s="8" t="str">
        <x:v>豆類/植物蛋白</x:v>
      </x:c>
      <x:c r="C44" s="8" t="str">
        <x:v>黃豆（熟）</x:v>
      </x:c>
      <x:c r="D44" s="8" t="str">
        <x:v>熟/可食部</x:v>
      </x:c>
      <x:c r="E44" s="34" t="n">
        <x:v>172</x:v>
      </x:c>
      <x:c r="F44" s="34" t="n">
        <x:v>18.2</x:v>
      </x:c>
      <x:c r="G44" s="34" t="n">
        <x:v>9</x:v>
      </x:c>
      <x:c r="H44" s="34" t="n">
        <x:v>8.4</x:v>
      </x:c>
      <x:c r="I44" s="34" t="n">
        <x:v>1</x:v>
      </x:c>
      <x:c r="J44" s="8" t="str">
        <x:v>USDA FDC</x:v>
      </x:c>
      <x:c r="K44" s="8" t="str"/>
    </x:row>
    <x:row r="45">
      <x:c r="A45" s="8" t="str">
        <x:v>SO005</x:v>
      </x:c>
      <x:c r="B45" s="8" t="str">
        <x:v>豆類/植物蛋白</x:v>
      </x:c>
      <x:c r="C45" s="8" t="str">
        <x:v>黑豆（熟）</x:v>
      </x:c>
      <x:c r="D45" s="8" t="str">
        <x:v>熟/可食部</x:v>
      </x:c>
      <x:c r="E45" s="34" t="n">
        <x:v>132</x:v>
      </x:c>
      <x:c r="F45" s="34" t="n">
        <x:v>8.9</x:v>
      </x:c>
      <x:c r="G45" s="34" t="n">
        <x:v>0.5</x:v>
      </x:c>
      <x:c r="H45" s="34" t="n">
        <x:v>23.7</x:v>
      </x:c>
      <x:c r="I45" s="34" t="n">
        <x:v>1</x:v>
      </x:c>
      <x:c r="J45" s="8" t="str">
        <x:v>USDA FDC / estimate</x:v>
      </x:c>
      <x:c r="K45" s="8" t="str"/>
    </x:row>
    <x:row r="46">
      <x:c r="A46" s="8" t="str">
        <x:v>SO006</x:v>
      </x:c>
      <x:c r="B46" s="8" t="str">
        <x:v>豆類/植物蛋白</x:v>
      </x:c>
      <x:c r="C46" s="8" t="str">
        <x:v>無糖豆漿</x:v>
      </x:c>
      <x:c r="D46" s="8" t="str">
        <x:v>液體/100ml</x:v>
      </x:c>
      <x:c r="E46" s="34" t="n">
        <x:v>33</x:v>
      </x:c>
      <x:c r="F46" s="34" t="n">
        <x:v>3.3</x:v>
      </x:c>
      <x:c r="G46" s="34" t="n">
        <x:v>1.8</x:v>
      </x:c>
      <x:c r="H46" s="34" t="n">
        <x:v>1</x:v>
      </x:c>
      <x:c r="I46" s="34" t="n">
        <x:v>40</x:v>
      </x:c>
      <x:c r="J46" s="8" t="str">
        <x:v>Taiwan FDA nutrition DB / estimate</x:v>
      </x:c>
      <x:c r="K46" s="8" t="str">
        <x:v>不同品牌差異大</x:v>
      </x:c>
    </x:row>
    <x:row r="47">
      <x:c r="A47" s="8" t="str">
        <x:v>SO007</x:v>
      </x:c>
      <x:c r="B47" s="8" t="str">
        <x:v>豆類/植物蛋白</x:v>
      </x:c>
      <x:c r="C47" s="8" t="str">
        <x:v>天貝</x:v>
      </x:c>
      <x:c r="D47" s="8" t="str">
        <x:v>可食部</x:v>
      </x:c>
      <x:c r="E47" s="34" t="n">
        <x:v>193</x:v>
      </x:c>
      <x:c r="F47" s="34" t="n">
        <x:v>19</x:v>
      </x:c>
      <x:c r="G47" s="34" t="n">
        <x:v>11</x:v>
      </x:c>
      <x:c r="H47" s="34" t="n">
        <x:v>9</x:v>
      </x:c>
      <x:c r="I47" s="34" t="n">
        <x:v>9</x:v>
      </x:c>
      <x:c r="J47" s="8" t="str">
        <x:v>USDA FDC</x:v>
      </x:c>
      <x:c r="K47" s="8" t="str"/>
    </x:row>
    <x:row r="48">
      <x:c r="A48" s="8" t="str">
        <x:v>DA001</x:v>
      </x:c>
      <x:c r="B48" s="8" t="str">
        <x:v>乳品</x:v>
      </x:c>
      <x:c r="C48" s="8" t="str">
        <x:v>鮮奶（全脂）</x:v>
      </x:c>
      <x:c r="D48" s="8" t="str">
        <x:v>液體/100ml</x:v>
      </x:c>
      <x:c r="E48" s="34" t="n">
        <x:v>61</x:v>
      </x:c>
      <x:c r="F48" s="34" t="n">
        <x:v>3.2</x:v>
      </x:c>
      <x:c r="G48" s="34" t="n">
        <x:v>3.3</x:v>
      </x:c>
      <x:c r="H48" s="34" t="n">
        <x:v>4.8</x:v>
      </x:c>
      <x:c r="I48" s="34" t="n">
        <x:v>43</x:v>
      </x:c>
      <x:c r="J48" s="8" t="str">
        <x:v>USDA FDC / Taiwan FDA nutrition DB</x:v>
      </x:c>
      <x:c r="K48" s="8" t="str"/>
    </x:row>
    <x:row r="49">
      <x:c r="A49" s="8" t="str">
        <x:v>DA002</x:v>
      </x:c>
      <x:c r="B49" s="8" t="str">
        <x:v>乳品</x:v>
      </x:c>
      <x:c r="C49" s="8" t="str">
        <x:v>鮮奶（低脂）</x:v>
      </x:c>
      <x:c r="D49" s="8" t="str">
        <x:v>液體/100ml</x:v>
      </x:c>
      <x:c r="E49" s="34" t="n">
        <x:v>42</x:v>
      </x:c>
      <x:c r="F49" s="34" t="n">
        <x:v>3.4</x:v>
      </x:c>
      <x:c r="G49" s="34" t="n">
        <x:v>1</x:v>
      </x:c>
      <x:c r="H49" s="34" t="n">
        <x:v>5</x:v>
      </x:c>
      <x:c r="I49" s="34" t="n">
        <x:v>44</x:v>
      </x:c>
      <x:c r="J49" s="8" t="str">
        <x:v>USDA FDC / Taiwan FDA nutrition DB</x:v>
      </x:c>
      <x:c r="K49" s="8" t="str"/>
    </x:row>
    <x:row r="50">
      <x:c r="A50" s="8" t="str">
        <x:v>DA003</x:v>
      </x:c>
      <x:c r="B50" s="8" t="str">
        <x:v>乳品</x:v>
      </x:c>
      <x:c r="C50" s="8" t="str">
        <x:v>希臘優格（無糖）</x:v>
      </x:c>
      <x:c r="D50" s="8" t="str">
        <x:v>可食部</x:v>
      </x:c>
      <x:c r="E50" s="34" t="n">
        <x:v>97</x:v>
      </x:c>
      <x:c r="F50" s="34" t="n">
        <x:v>9</x:v>
      </x:c>
      <x:c r="G50" s="34" t="n">
        <x:v>5</x:v>
      </x:c>
      <x:c r="H50" s="34" t="n">
        <x:v>3.6</x:v>
      </x:c>
      <x:c r="I50" s="34" t="n">
        <x:v>36</x:v>
      </x:c>
      <x:c r="J50" s="8" t="str">
        <x:v>USDA FDC / estimate</x:v>
      </x:c>
      <x:c r="K50" s="8" t="str">
        <x:v>品牌差異非常大</x:v>
      </x:c>
    </x:row>
    <x:row r="51">
      <x:c r="A51" s="8" t="str">
        <x:v>DA004</x:v>
      </x:c>
      <x:c r="B51" s="8" t="str">
        <x:v>乳品</x:v>
      </x:c>
      <x:c r="C51" s="8" t="str">
        <x:v>優格（無糖原味）</x:v>
      </x:c>
      <x:c r="D51" s="8" t="str">
        <x:v>可食部</x:v>
      </x:c>
      <x:c r="E51" s="34" t="n">
        <x:v>61</x:v>
      </x:c>
      <x:c r="F51" s="34" t="n">
        <x:v>3.5</x:v>
      </x:c>
      <x:c r="G51" s="34" t="n">
        <x:v>3.3</x:v>
      </x:c>
      <x:c r="H51" s="34" t="n">
        <x:v>4.7</x:v>
      </x:c>
      <x:c r="I51" s="34" t="n">
        <x:v>46</x:v>
      </x:c>
      <x:c r="J51" s="8" t="str">
        <x:v>USDA FDC</x:v>
      </x:c>
      <x:c r="K51" s="8" t="str"/>
    </x:row>
    <x:row r="52">
      <x:c r="A52" s="8" t="str">
        <x:v>VG001</x:v>
      </x:c>
      <x:c r="B52" s="8" t="str">
        <x:v>蔬菜</x:v>
      </x:c>
      <x:c r="C52" s="8" t="str">
        <x:v>青花菜（熟）</x:v>
      </x:c>
      <x:c r="D52" s="8" t="str">
        <x:v>熟/可食部</x:v>
      </x:c>
      <x:c r="E52" s="34" t="n">
        <x:v>35</x:v>
      </x:c>
      <x:c r="F52" s="34" t="n">
        <x:v>2.4</x:v>
      </x:c>
      <x:c r="G52" s="34" t="n">
        <x:v>0.4</x:v>
      </x:c>
      <x:c r="H52" s="34" t="n">
        <x:v>7.2</x:v>
      </x:c>
      <x:c r="I52" s="34" t="n">
        <x:v>41</x:v>
      </x:c>
      <x:c r="J52" s="8" t="str">
        <x:v>USDA FDC</x:v>
      </x:c>
      <x:c r="K52" s="8" t="str"/>
    </x:row>
    <x:row r="53">
      <x:c r="A53" s="8" t="str">
        <x:v>VG002</x:v>
      </x:c>
      <x:c r="B53" s="8" t="str">
        <x:v>蔬菜</x:v>
      </x:c>
      <x:c r="C53" s="8" t="str">
        <x:v>白花椰菜（熟）</x:v>
      </x:c>
      <x:c r="D53" s="8" t="str">
        <x:v>熟/可食部</x:v>
      </x:c>
      <x:c r="E53" s="34" t="n">
        <x:v>23</x:v>
      </x:c>
      <x:c r="F53" s="34" t="n">
        <x:v>1.8</x:v>
      </x:c>
      <x:c r="G53" s="34" t="n">
        <x:v>0.5</x:v>
      </x:c>
      <x:c r="H53" s="34" t="n">
        <x:v>4.1</x:v>
      </x:c>
      <x:c r="I53" s="34" t="n">
        <x:v>15</x:v>
      </x:c>
      <x:c r="J53" s="8" t="str">
        <x:v>USDA FDC</x:v>
      </x:c>
      <x:c r="K53" s="8" t="str"/>
    </x:row>
    <x:row r="54">
      <x:c r="A54" s="8" t="str">
        <x:v>VG003</x:v>
      </x:c>
      <x:c r="B54" s="8" t="str">
        <x:v>蔬菜</x:v>
      </x:c>
      <x:c r="C54" s="8" t="str">
        <x:v>菠菜（熟）</x:v>
      </x:c>
      <x:c r="D54" s="8" t="str">
        <x:v>熟/可食部</x:v>
      </x:c>
      <x:c r="E54" s="34" t="n">
        <x:v>23</x:v>
      </x:c>
      <x:c r="F54" s="34" t="n">
        <x:v>3</x:v>
      </x:c>
      <x:c r="G54" s="34" t="n">
        <x:v>0.3</x:v>
      </x:c>
      <x:c r="H54" s="34" t="n">
        <x:v>3.8</x:v>
      </x:c>
      <x:c r="I54" s="34" t="n">
        <x:v>70</x:v>
      </x:c>
      <x:c r="J54" s="8" t="str">
        <x:v>USDA FDC</x:v>
      </x:c>
      <x:c r="K54" s="8" t="str"/>
    </x:row>
    <x:row r="55">
      <x:c r="A55" s="8" t="str">
        <x:v>VG004</x:v>
      </x:c>
      <x:c r="B55" s="8" t="str">
        <x:v>蔬菜</x:v>
      </x:c>
      <x:c r="C55" s="8" t="str">
        <x:v>高麗菜（生）</x:v>
      </x:c>
      <x:c r="D55" s="8" t="str">
        <x:v>生/可食部</x:v>
      </x:c>
      <x:c r="E55" s="34" t="n">
        <x:v>25</x:v>
      </x:c>
      <x:c r="F55" s="34" t="n">
        <x:v>1.3</x:v>
      </x:c>
      <x:c r="G55" s="34" t="n">
        <x:v>0.1</x:v>
      </x:c>
      <x:c r="H55" s="34" t="n">
        <x:v>5.8</x:v>
      </x:c>
      <x:c r="I55" s="34" t="n">
        <x:v>18</x:v>
      </x:c>
      <x:c r="J55" s="8" t="str">
        <x:v>USDA FDC / Taiwan FDA nutrition DB</x:v>
      </x:c>
      <x:c r="K55" s="8" t="str">
        <x:v>炒高麗菜熱量主要來自油</x:v>
      </x:c>
    </x:row>
    <x:row r="56">
      <x:c r="A56" s="8" t="str">
        <x:v>VG005</x:v>
      </x:c>
      <x:c r="B56" s="8" t="str">
        <x:v>蔬菜</x:v>
      </x:c>
      <x:c r="C56" s="8" t="str">
        <x:v>大白菜（熟）</x:v>
      </x:c>
      <x:c r="D56" s="8" t="str">
        <x:v>熟/可食部</x:v>
      </x:c>
      <x:c r="E56" s="34" t="n">
        <x:v>13</x:v>
      </x:c>
      <x:c r="F56" s="34" t="n">
        <x:v>1.5</x:v>
      </x:c>
      <x:c r="G56" s="34" t="n">
        <x:v>0.2</x:v>
      </x:c>
      <x:c r="H56" s="34" t="n">
        <x:v>2.2</x:v>
      </x:c>
      <x:c r="I56" s="34" t="n">
        <x:v>8</x:v>
      </x:c>
      <x:c r="J56" s="8" t="str">
        <x:v>USDA FDC / estimate</x:v>
      </x:c>
      <x:c r="K56" s="8" t="str"/>
    </x:row>
    <x:row r="57">
      <x:c r="A57" s="8" t="str">
        <x:v>VG006</x:v>
      </x:c>
      <x:c r="B57" s="8" t="str">
        <x:v>蔬菜</x:v>
      </x:c>
      <x:c r="C57" s="8" t="str">
        <x:v>空心菜（熟）</x:v>
      </x:c>
      <x:c r="D57" s="8" t="str">
        <x:v>熟/可食部</x:v>
      </x:c>
      <x:c r="E57" s="34" t="n">
        <x:v>19</x:v>
      </x:c>
      <x:c r="F57" s="34" t="n">
        <x:v>2.6</x:v>
      </x:c>
      <x:c r="G57" s="34" t="n">
        <x:v>0.2</x:v>
      </x:c>
      <x:c r="H57" s="34" t="n">
        <x:v>3.1</x:v>
      </x:c>
      <x:c r="I57" s="34" t="n">
        <x:v>113</x:v>
      </x:c>
      <x:c r="J57" s="8" t="str">
        <x:v>Taiwan FDA nutrition DB / estimate</x:v>
      </x:c>
      <x:c r="K57" s="8" t="str">
        <x:v>常見熱炒鈉來自調味，不只菜本身</x:v>
      </x:c>
    </x:row>
    <x:row r="58">
      <x:c r="A58" s="8" t="str">
        <x:v>VG007</x:v>
      </x:c>
      <x:c r="B58" s="8" t="str">
        <x:v>蔬菜</x:v>
      </x:c>
      <x:c r="C58" s="8" t="str">
        <x:v>地瓜葉（熟）</x:v>
      </x:c>
      <x:c r="D58" s="8" t="str">
        <x:v>熟/可食部</x:v>
      </x:c>
      <x:c r="E58" s="34" t="n">
        <x:v>34</x:v>
      </x:c>
      <x:c r="F58" s="34" t="n">
        <x:v>2.5</x:v>
      </x:c>
      <x:c r="G58" s="34" t="n">
        <x:v>0.5</x:v>
      </x:c>
      <x:c r="H58" s="34" t="n">
        <x:v>6.9</x:v>
      </x:c>
      <x:c r="I58" s="34" t="n">
        <x:v>30</x:v>
      </x:c>
      <x:c r="J58" s="8" t="str">
        <x:v>Taiwan FDA nutrition DB / estimate</x:v>
      </x:c>
      <x:c r="K58" s="8" t="str"/>
    </x:row>
    <x:row r="59">
      <x:c r="A59" s="8" t="str">
        <x:v>VG008</x:v>
      </x:c>
      <x:c r="B59" s="8" t="str">
        <x:v>蔬菜</x:v>
      </x:c>
      <x:c r="C59" s="8" t="str">
        <x:v>小白菜（熟）</x:v>
      </x:c>
      <x:c r="D59" s="8" t="str">
        <x:v>熟/可食部</x:v>
      </x:c>
      <x:c r="E59" s="34" t="n">
        <x:v>13</x:v>
      </x:c>
      <x:c r="F59" s="34" t="n">
        <x:v>1.5</x:v>
      </x:c>
      <x:c r="G59" s="34" t="n">
        <x:v>0.2</x:v>
      </x:c>
      <x:c r="H59" s="34" t="n">
        <x:v>2.2</x:v>
      </x:c>
      <x:c r="I59" s="34" t="n">
        <x:v>8</x:v>
      </x:c>
      <x:c r="J59" s="8" t="str">
        <x:v>USDA FDC / estimate</x:v>
      </x:c>
      <x:c r="K59" s="8" t="str"/>
    </x:row>
    <x:row r="60">
      <x:c r="A60" s="8" t="str">
        <x:v>VG009</x:v>
      </x:c>
      <x:c r="B60" s="8" t="str">
        <x:v>蔬菜</x:v>
      </x:c>
      <x:c r="C60" s="8" t="str">
        <x:v>油菜（熟）</x:v>
      </x:c>
      <x:c r="D60" s="8" t="str">
        <x:v>熟/可食部</x:v>
      </x:c>
      <x:c r="E60" s="34" t="n">
        <x:v>22</x:v>
      </x:c>
      <x:c r="F60" s="34" t="n">
        <x:v>2.1</x:v>
      </x:c>
      <x:c r="G60" s="34" t="n">
        <x:v>0.3</x:v>
      </x:c>
      <x:c r="H60" s="34" t="n">
        <x:v>3.8</x:v>
      </x:c>
      <x:c r="I60" s="34" t="n">
        <x:v>33</x:v>
      </x:c>
      <x:c r="J60" s="8" t="str">
        <x:v>USDA FDC / estimate</x:v>
      </x:c>
      <x:c r="K60" s="8" t="str"/>
    </x:row>
    <x:row r="61">
      <x:c r="A61" s="8" t="str">
        <x:v>VG010</x:v>
      </x:c>
      <x:c r="B61" s="8" t="str">
        <x:v>蔬菜</x:v>
      </x:c>
      <x:c r="C61" s="8" t="str">
        <x:v>萵苣（生）</x:v>
      </x:c>
      <x:c r="D61" s="8" t="str">
        <x:v>生/可食部</x:v>
      </x:c>
      <x:c r="E61" s="34" t="n">
        <x:v>15</x:v>
      </x:c>
      <x:c r="F61" s="34" t="n">
        <x:v>1.4</x:v>
      </x:c>
      <x:c r="G61" s="34" t="n">
        <x:v>0.2</x:v>
      </x:c>
      <x:c r="H61" s="34" t="n">
        <x:v>2.9</x:v>
      </x:c>
      <x:c r="I61" s="34" t="n">
        <x:v>28</x:v>
      </x:c>
      <x:c r="J61" s="8" t="str">
        <x:v>USDA FDC</x:v>
      </x:c>
      <x:c r="K61" s="8" t="str"/>
    </x:row>
    <x:row r="62">
      <x:c r="A62" s="8" t="str">
        <x:v>VG011</x:v>
      </x:c>
      <x:c r="B62" s="8" t="str">
        <x:v>蔬菜</x:v>
      </x:c>
      <x:c r="C62" s="8" t="str">
        <x:v>番茄（生）</x:v>
      </x:c>
      <x:c r="D62" s="8" t="str">
        <x:v>生/可食部</x:v>
      </x:c>
      <x:c r="E62" s="34" t="n">
        <x:v>18</x:v>
      </x:c>
      <x:c r="F62" s="34" t="n">
        <x:v>0.9</x:v>
      </x:c>
      <x:c r="G62" s="34" t="n">
        <x:v>0.2</x:v>
      </x:c>
      <x:c r="H62" s="34" t="n">
        <x:v>3.9</x:v>
      </x:c>
      <x:c r="I62" s="34" t="n">
        <x:v>5</x:v>
      </x:c>
      <x:c r="J62" s="8" t="str">
        <x:v>USDA FDC</x:v>
      </x:c>
      <x:c r="K62" s="8" t="str"/>
    </x:row>
    <x:row r="63">
      <x:c r="A63" s="8" t="str">
        <x:v>VG012</x:v>
      </x:c>
      <x:c r="B63" s="8" t="str">
        <x:v>蔬菜</x:v>
      </x:c>
      <x:c r="C63" s="8" t="str">
        <x:v>小黃瓜（生）</x:v>
      </x:c>
      <x:c r="D63" s="8" t="str">
        <x:v>生/可食部</x:v>
      </x:c>
      <x:c r="E63" s="34" t="n">
        <x:v>15</x:v>
      </x:c>
      <x:c r="F63" s="34" t="n">
        <x:v>0.7</x:v>
      </x:c>
      <x:c r="G63" s="34" t="n">
        <x:v>0.1</x:v>
      </x:c>
      <x:c r="H63" s="34" t="n">
        <x:v>3.6</x:v>
      </x:c>
      <x:c r="I63" s="34" t="n">
        <x:v>2</x:v>
      </x:c>
      <x:c r="J63" s="8" t="str">
        <x:v>USDA FDC</x:v>
      </x:c>
      <x:c r="K63" s="8" t="str"/>
    </x:row>
    <x:row r="64">
      <x:c r="A64" s="8" t="str">
        <x:v>VG013</x:v>
      </x:c>
      <x:c r="B64" s="8" t="str">
        <x:v>蔬菜</x:v>
      </x:c>
      <x:c r="C64" s="8" t="str">
        <x:v>胡蘿蔔（熟）</x:v>
      </x:c>
      <x:c r="D64" s="8" t="str">
        <x:v>熟/可食部</x:v>
      </x:c>
      <x:c r="E64" s="34" t="n">
        <x:v>35</x:v>
      </x:c>
      <x:c r="F64" s="34" t="n">
        <x:v>0.8</x:v>
      </x:c>
      <x:c r="G64" s="34" t="n">
        <x:v>0.2</x:v>
      </x:c>
      <x:c r="H64" s="34" t="n">
        <x:v>8.2</x:v>
      </x:c>
      <x:c r="I64" s="34" t="n">
        <x:v>58</x:v>
      </x:c>
      <x:c r="J64" s="8" t="str">
        <x:v>USDA FDC</x:v>
      </x:c>
      <x:c r="K64" s="8" t="str"/>
    </x:row>
    <x:row r="65">
      <x:c r="A65" s="8" t="str">
        <x:v>VG014</x:v>
      </x:c>
      <x:c r="B65" s="8" t="str">
        <x:v>蔬菜</x:v>
      </x:c>
      <x:c r="C65" s="8" t="str">
        <x:v>洋蔥（熟）</x:v>
      </x:c>
      <x:c r="D65" s="8" t="str">
        <x:v>熟/可食部</x:v>
      </x:c>
      <x:c r="E65" s="34" t="n">
        <x:v>44</x:v>
      </x:c>
      <x:c r="F65" s="34" t="n">
        <x:v>1.4</x:v>
      </x:c>
      <x:c r="G65" s="34" t="n">
        <x:v>0.2</x:v>
      </x:c>
      <x:c r="H65" s="34" t="n">
        <x:v>10.1</x:v>
      </x:c>
      <x:c r="I65" s="34" t="n">
        <x:v>3</x:v>
      </x:c>
      <x:c r="J65" s="8" t="str">
        <x:v>USDA FDC</x:v>
      </x:c>
      <x:c r="K65" s="8" t="str"/>
    </x:row>
    <x:row r="66">
      <x:c r="A66" s="8" t="str">
        <x:v>VG015</x:v>
      </x:c>
      <x:c r="B66" s="8" t="str">
        <x:v>蔬菜</x:v>
      </x:c>
      <x:c r="C66" s="8" t="str">
        <x:v>青椒（生）</x:v>
      </x:c>
      <x:c r="D66" s="8" t="str">
        <x:v>生/可食部</x:v>
      </x:c>
      <x:c r="E66" s="34" t="n">
        <x:v>20</x:v>
      </x:c>
      <x:c r="F66" s="34" t="n">
        <x:v>0.9</x:v>
      </x:c>
      <x:c r="G66" s="34" t="n">
        <x:v>0.2</x:v>
      </x:c>
      <x:c r="H66" s="34" t="n">
        <x:v>4.6</x:v>
      </x:c>
      <x:c r="I66" s="34" t="n">
        <x:v>3</x:v>
      </x:c>
      <x:c r="J66" s="8" t="str">
        <x:v>USDA FDC</x:v>
      </x:c>
      <x:c r="K66" s="8" t="str"/>
    </x:row>
    <x:row r="67">
      <x:c r="A67" s="8" t="str">
        <x:v>VG016</x:v>
      </x:c>
      <x:c r="B67" s="8" t="str">
        <x:v>蔬菜</x:v>
      </x:c>
      <x:c r="C67" s="8" t="str">
        <x:v>香菇（熟）</x:v>
      </x:c>
      <x:c r="D67" s="8" t="str">
        <x:v>熟/可食部</x:v>
      </x:c>
      <x:c r="E67" s="34" t="n">
        <x:v>56</x:v>
      </x:c>
      <x:c r="F67" s="34" t="n">
        <x:v>1.6</x:v>
      </x:c>
      <x:c r="G67" s="34" t="n">
        <x:v>0.2</x:v>
      </x:c>
      <x:c r="H67" s="34" t="n">
        <x:v>14.4</x:v>
      </x:c>
      <x:c r="I67" s="34" t="n">
        <x:v>9</x:v>
      </x:c>
      <x:c r="J67" s="8" t="str">
        <x:v>USDA FDC / estimate</x:v>
      </x:c>
      <x:c r="K67" s="8" t="str">
        <x:v>乾香菇請另建乾重版本</x:v>
      </x:c>
    </x:row>
    <x:row r="68">
      <x:c r="A68" s="8" t="str">
        <x:v>VG017</x:v>
      </x:c>
      <x:c r="B68" s="8" t="str">
        <x:v>蔬菜</x:v>
      </x:c>
      <x:c r="C68" s="8" t="str">
        <x:v>杏鮑菇（熟）</x:v>
      </x:c>
      <x:c r="D68" s="8" t="str">
        <x:v>熟/可食部</x:v>
      </x:c>
      <x:c r="E68" s="34" t="n">
        <x:v>35</x:v>
      </x:c>
      <x:c r="F68" s="34" t="n">
        <x:v>3</x:v>
      </x:c>
      <x:c r="G68" s="34" t="n">
        <x:v>0.4</x:v>
      </x:c>
      <x:c r="H68" s="34" t="n">
        <x:v>6.5</x:v>
      </x:c>
      <x:c r="I68" s="34" t="n">
        <x:v>10</x:v>
      </x:c>
      <x:c r="J68" s="8" t="str">
        <x:v>Taiwan FDA nutrition DB / estimate</x:v>
      </x:c>
      <x:c r="K68" s="8" t="str"/>
    </x:row>
    <x:row r="69">
      <x:c r="A69" s="8" t="str">
        <x:v>VG018</x:v>
      </x:c>
      <x:c r="B69" s="8" t="str">
        <x:v>蔬菜</x:v>
      </x:c>
      <x:c r="C69" s="8" t="str">
        <x:v>金針菇（熟）</x:v>
      </x:c>
      <x:c r="D69" s="8" t="str">
        <x:v>熟/可食部</x:v>
      </x:c>
      <x:c r="E69" s="34" t="n">
        <x:v>37</x:v>
      </x:c>
      <x:c r="F69" s="34" t="n">
        <x:v>2.7</x:v>
      </x:c>
      <x:c r="G69" s="34" t="n">
        <x:v>0.3</x:v>
      </x:c>
      <x:c r="H69" s="34" t="n">
        <x:v>7.8</x:v>
      </x:c>
      <x:c r="I69" s="34" t="n">
        <x:v>3</x:v>
      </x:c>
      <x:c r="J69" s="8" t="str">
        <x:v>Taiwan FDA nutrition DB / estimate</x:v>
      </x:c>
      <x:c r="K69" s="8" t="str"/>
    </x:row>
    <x:row r="70">
      <x:c r="A70" s="8" t="str">
        <x:v>VG019</x:v>
      </x:c>
      <x:c r="B70" s="8" t="str">
        <x:v>蔬菜</x:v>
      </x:c>
      <x:c r="C70" s="8" t="str">
        <x:v>木耳（熟）</x:v>
      </x:c>
      <x:c r="D70" s="8" t="str">
        <x:v>熟/可食部</x:v>
      </x:c>
      <x:c r="E70" s="34" t="n">
        <x:v>25</x:v>
      </x:c>
      <x:c r="F70" s="34" t="n">
        <x:v>0.5</x:v>
      </x:c>
      <x:c r="G70" s="34" t="n">
        <x:v>0.1</x:v>
      </x:c>
      <x:c r="H70" s="34" t="n">
        <x:v>6.8</x:v>
      </x:c>
      <x:c r="I70" s="34" t="n">
        <x:v>9</x:v>
      </x:c>
      <x:c r="J70" s="8" t="str">
        <x:v>USDA FDC / estimate</x:v>
      </x:c>
      <x:c r="K70" s="8" t="str"/>
    </x:row>
    <x:row r="71">
      <x:c r="A71" s="8" t="str">
        <x:v>VG020</x:v>
      </x:c>
      <x:c r="B71" s="8" t="str">
        <x:v>蔬菜</x:v>
      </x:c>
      <x:c r="C71" s="8" t="str">
        <x:v>海帶（熟）</x:v>
      </x:c>
      <x:c r="D71" s="8" t="str">
        <x:v>熟/可食部</x:v>
      </x:c>
      <x:c r="E71" s="34" t="n">
        <x:v>43</x:v>
      </x:c>
      <x:c r="F71" s="34" t="n">
        <x:v>1.7</x:v>
      </x:c>
      <x:c r="G71" s="34" t="n">
        <x:v>0.6</x:v>
      </x:c>
      <x:c r="H71" s="34" t="n">
        <x:v>9.6</x:v>
      </x:c>
      <x:c r="I71" s="34" t="n">
        <x:v>233</x:v>
      </x:c>
      <x:c r="J71" s="8" t="str">
        <x:v>USDA FDC / estimate</x:v>
      </x:c>
      <x:c r="K71" s="8" t="str">
        <x:v>天然鈉較高</x:v>
      </x:c>
    </x:row>
    <x:row r="72">
      <x:c r="A72" s="8" t="str">
        <x:v>VG021</x:v>
      </x:c>
      <x:c r="B72" s="8" t="str">
        <x:v>蔬菜</x:v>
      </x:c>
      <x:c r="C72" s="8" t="str">
        <x:v>茄子（熟）</x:v>
      </x:c>
      <x:c r="D72" s="8" t="str">
        <x:v>熟/可食部</x:v>
      </x:c>
      <x:c r="E72" s="34" t="n">
        <x:v>35</x:v>
      </x:c>
      <x:c r="F72" s="34" t="n">
        <x:v>0.8</x:v>
      </x:c>
      <x:c r="G72" s="34" t="n">
        <x:v>0.2</x:v>
      </x:c>
      <x:c r="H72" s="34" t="n">
        <x:v>8.7</x:v>
      </x:c>
      <x:c r="I72" s="34" t="n">
        <x:v>1</x:v>
      </x:c>
      <x:c r="J72" s="8" t="str">
        <x:v>USDA FDC</x:v>
      </x:c>
      <x:c r="K72" s="8" t="str"/>
    </x:row>
    <x:row r="73">
      <x:c r="A73" s="8" t="str">
        <x:v>VG022</x:v>
      </x:c>
      <x:c r="B73" s="8" t="str">
        <x:v>蔬菜</x:v>
      </x:c>
      <x:c r="C73" s="8" t="str">
        <x:v>櫛瓜（熟）</x:v>
      </x:c>
      <x:c r="D73" s="8" t="str">
        <x:v>熟/可食部</x:v>
      </x:c>
      <x:c r="E73" s="34" t="n">
        <x:v>17</x:v>
      </x:c>
      <x:c r="F73" s="34" t="n">
        <x:v>1.2</x:v>
      </x:c>
      <x:c r="G73" s="34" t="n">
        <x:v>0.3</x:v>
      </x:c>
      <x:c r="H73" s="34" t="n">
        <x:v>3.1</x:v>
      </x:c>
      <x:c r="I73" s="34" t="n">
        <x:v>8</x:v>
      </x:c>
      <x:c r="J73" s="8" t="str">
        <x:v>USDA FDC</x:v>
      </x:c>
      <x:c r="K73" s="8" t="str"/>
    </x:row>
    <x:row r="74">
      <x:c r="A74" s="8" t="str">
        <x:v>VG023</x:v>
      </x:c>
      <x:c r="B74" s="8" t="str">
        <x:v>蔬菜</x:v>
      </x:c>
      <x:c r="C74" s="8" t="str">
        <x:v>蘆筍（熟）</x:v>
      </x:c>
      <x:c r="D74" s="8" t="str">
        <x:v>熟/可食部</x:v>
      </x:c>
      <x:c r="E74" s="34" t="n">
        <x:v>22</x:v>
      </x:c>
      <x:c r="F74" s="34" t="n">
        <x:v>2.4</x:v>
      </x:c>
      <x:c r="G74" s="34" t="n">
        <x:v>0.2</x:v>
      </x:c>
      <x:c r="H74" s="34" t="n">
        <x:v>4.1</x:v>
      </x:c>
      <x:c r="I74" s="34" t="n">
        <x:v>14</x:v>
      </x:c>
      <x:c r="J74" s="8" t="str">
        <x:v>USDA FDC</x:v>
      </x:c>
      <x:c r="K74" s="8" t="str"/>
    </x:row>
    <x:row r="75">
      <x:c r="A75" s="8" t="str">
        <x:v>VG024</x:v>
      </x:c>
      <x:c r="B75" s="8" t="str">
        <x:v>蔬菜</x:v>
      </x:c>
      <x:c r="C75" s="8" t="str">
        <x:v>蓮藕（熟）</x:v>
      </x:c>
      <x:c r="D75" s="8" t="str">
        <x:v>熟/可食部</x:v>
      </x:c>
      <x:c r="E75" s="34" t="n">
        <x:v>66</x:v>
      </x:c>
      <x:c r="F75" s="34" t="n">
        <x:v>1.6</x:v>
      </x:c>
      <x:c r="G75" s="34" t="n">
        <x:v>0.1</x:v>
      </x:c>
      <x:c r="H75" s="34" t="n">
        <x:v>16</x:v>
      </x:c>
      <x:c r="I75" s="34" t="n">
        <x:v>45</x:v>
      </x:c>
      <x:c r="J75" s="8" t="str">
        <x:v>USDA FDC / Taiwan FDA nutrition DB</x:v>
      </x:c>
      <x:c r="K75" s="8" t="str"/>
    </x:row>
    <x:row r="76">
      <x:c r="A76" s="8" t="str">
        <x:v>FR001</x:v>
      </x:c>
      <x:c r="B76" s="8" t="str">
        <x:v>水果</x:v>
      </x:c>
      <x:c r="C76" s="8" t="str">
        <x:v>香蕉</x:v>
      </x:c>
      <x:c r="D76" s="8" t="str">
        <x:v>生/可食部</x:v>
      </x:c>
      <x:c r="E76" s="34" t="n">
        <x:v>89</x:v>
      </x:c>
      <x:c r="F76" s="34" t="n">
        <x:v>1.1</x:v>
      </x:c>
      <x:c r="G76" s="34" t="n">
        <x:v>0.3</x:v>
      </x:c>
      <x:c r="H76" s="34" t="n">
        <x:v>22.8</x:v>
      </x:c>
      <x:c r="I76" s="34" t="n">
        <x:v>1</x:v>
      </x:c>
      <x:c r="J76" s="8" t="str">
        <x:v>USDA FDC / Taiwan FDA nutrition DB</x:v>
      </x:c>
      <x:c r="K76" s="8" t="str"/>
    </x:row>
    <x:row r="77">
      <x:c r="A77" s="8" t="str">
        <x:v>FR002</x:v>
      </x:c>
      <x:c r="B77" s="8" t="str">
        <x:v>水果</x:v>
      </x:c>
      <x:c r="C77" s="8" t="str">
        <x:v>蘋果</x:v>
      </x:c>
      <x:c r="D77" s="8" t="str">
        <x:v>生/可食部</x:v>
      </x:c>
      <x:c r="E77" s="34" t="n">
        <x:v>52</x:v>
      </x:c>
      <x:c r="F77" s="34" t="n">
        <x:v>0.3</x:v>
      </x:c>
      <x:c r="G77" s="34" t="n">
        <x:v>0.2</x:v>
      </x:c>
      <x:c r="H77" s="34" t="n">
        <x:v>13.8</x:v>
      </x:c>
      <x:c r="I77" s="34" t="n">
        <x:v>1</x:v>
      </x:c>
      <x:c r="J77" s="8" t="str">
        <x:v>USDA FDC</x:v>
      </x:c>
      <x:c r="K77" s="8" t="str"/>
    </x:row>
    <x:row r="78">
      <x:c r="A78" s="8" t="str">
        <x:v>FR003</x:v>
      </x:c>
      <x:c r="B78" s="8" t="str">
        <x:v>水果</x:v>
      </x:c>
      <x:c r="C78" s="8" t="str">
        <x:v>芭樂</x:v>
      </x:c>
      <x:c r="D78" s="8" t="str">
        <x:v>生/可食部</x:v>
      </x:c>
      <x:c r="E78" s="34" t="n">
        <x:v>68</x:v>
      </x:c>
      <x:c r="F78" s="34" t="n">
        <x:v>2.6</x:v>
      </x:c>
      <x:c r="G78" s="34" t="n">
        <x:v>1</x:v>
      </x:c>
      <x:c r="H78" s="34" t="n">
        <x:v>14.3</x:v>
      </x:c>
      <x:c r="I78" s="34" t="n">
        <x:v>2</x:v>
      </x:c>
      <x:c r="J78" s="8" t="str">
        <x:v>USDA FDC / Taiwan FDA nutrition DB</x:v>
      </x:c>
      <x:c r="K78" s="8" t="str"/>
    </x:row>
    <x:row r="79">
      <x:c r="A79" s="8" t="str">
        <x:v>FR004</x:v>
      </x:c>
      <x:c r="B79" s="8" t="str">
        <x:v>水果</x:v>
      </x:c>
      <x:c r="C79" s="8" t="str">
        <x:v>奇異果</x:v>
      </x:c>
      <x:c r="D79" s="8" t="str">
        <x:v>生/可食部</x:v>
      </x:c>
      <x:c r="E79" s="34" t="n">
        <x:v>61</x:v>
      </x:c>
      <x:c r="F79" s="34" t="n">
        <x:v>1.1</x:v>
      </x:c>
      <x:c r="G79" s="34" t="n">
        <x:v>0.5</x:v>
      </x:c>
      <x:c r="H79" s="34" t="n">
        <x:v>14.7</x:v>
      </x:c>
      <x:c r="I79" s="34" t="n">
        <x:v>3</x:v>
      </x:c>
      <x:c r="J79" s="8" t="str">
        <x:v>USDA FDC</x:v>
      </x:c>
      <x:c r="K79" s="8" t="str"/>
    </x:row>
    <x:row r="80">
      <x:c r="A80" s="8" t="str">
        <x:v>FR005</x:v>
      </x:c>
      <x:c r="B80" s="8" t="str">
        <x:v>水果</x:v>
      </x:c>
      <x:c r="C80" s="8" t="str">
        <x:v>柳橙</x:v>
      </x:c>
      <x:c r="D80" s="8" t="str">
        <x:v>生/可食部</x:v>
      </x:c>
      <x:c r="E80" s="34" t="n">
        <x:v>47</x:v>
      </x:c>
      <x:c r="F80" s="34" t="n">
        <x:v>0.9</x:v>
      </x:c>
      <x:c r="G80" s="34" t="n">
        <x:v>0.1</x:v>
      </x:c>
      <x:c r="H80" s="34" t="n">
        <x:v>11.8</x:v>
      </x:c>
      <x:c r="I80" s="34" t="n">
        <x:v>0</x:v>
      </x:c>
      <x:c r="J80" s="8" t="str">
        <x:v>USDA FDC</x:v>
      </x:c>
      <x:c r="K80" s="8" t="str"/>
    </x:row>
    <x:row r="81">
      <x:c r="A81" s="8" t="str">
        <x:v>FR006</x:v>
      </x:c>
      <x:c r="B81" s="8" t="str">
        <x:v>水果</x:v>
      </x:c>
      <x:c r="C81" s="8" t="str">
        <x:v>芒果</x:v>
      </x:c>
      <x:c r="D81" s="8" t="str">
        <x:v>生/可食部</x:v>
      </x:c>
      <x:c r="E81" s="34" t="n">
        <x:v>60</x:v>
      </x:c>
      <x:c r="F81" s="34" t="n">
        <x:v>0.8</x:v>
      </x:c>
      <x:c r="G81" s="34" t="n">
        <x:v>0.4</x:v>
      </x:c>
      <x:c r="H81" s="34" t="n">
        <x:v>15</x:v>
      </x:c>
      <x:c r="I81" s="34" t="n">
        <x:v>1</x:v>
      </x:c>
      <x:c r="J81" s="8" t="str">
        <x:v>USDA FDC</x:v>
      </x:c>
      <x:c r="K81" s="8" t="str"/>
    </x:row>
    <x:row r="82">
      <x:c r="A82" s="8" t="str">
        <x:v>FR007</x:v>
      </x:c>
      <x:c r="B82" s="8" t="str">
        <x:v>水果</x:v>
      </x:c>
      <x:c r="C82" s="8" t="str">
        <x:v>鳳梨</x:v>
      </x:c>
      <x:c r="D82" s="8" t="str">
        <x:v>生/可食部</x:v>
      </x:c>
      <x:c r="E82" s="34" t="n">
        <x:v>50</x:v>
      </x:c>
      <x:c r="F82" s="34" t="n">
        <x:v>0.5</x:v>
      </x:c>
      <x:c r="G82" s="34" t="n">
        <x:v>0.1</x:v>
      </x:c>
      <x:c r="H82" s="34" t="n">
        <x:v>13.1</x:v>
      </x:c>
      <x:c r="I82" s="34" t="n">
        <x:v>1</x:v>
      </x:c>
      <x:c r="J82" s="8" t="str">
        <x:v>USDA FDC</x:v>
      </x:c>
      <x:c r="K82" s="8" t="str"/>
    </x:row>
    <x:row r="83">
      <x:c r="A83" s="8" t="str">
        <x:v>FR008</x:v>
      </x:c>
      <x:c r="B83" s="8" t="str">
        <x:v>水果</x:v>
      </x:c>
      <x:c r="C83" s="8" t="str">
        <x:v>西瓜</x:v>
      </x:c>
      <x:c r="D83" s="8" t="str">
        <x:v>生/可食部</x:v>
      </x:c>
      <x:c r="E83" s="34" t="n">
        <x:v>30</x:v>
      </x:c>
      <x:c r="F83" s="34" t="n">
        <x:v>0.6</x:v>
      </x:c>
      <x:c r="G83" s="34" t="n">
        <x:v>0.2</x:v>
      </x:c>
      <x:c r="H83" s="34" t="n">
        <x:v>7.6</x:v>
      </x:c>
      <x:c r="I83" s="34" t="n">
        <x:v>1</x:v>
      </x:c>
      <x:c r="J83" s="8" t="str">
        <x:v>USDA FDC</x:v>
      </x:c>
      <x:c r="K83" s="8" t="str"/>
    </x:row>
    <x:row r="84">
      <x:c r="A84" s="8" t="str">
        <x:v>FR009</x:v>
      </x:c>
      <x:c r="B84" s="8" t="str">
        <x:v>水果</x:v>
      </x:c>
      <x:c r="C84" s="8" t="str">
        <x:v>木瓜</x:v>
      </x:c>
      <x:c r="D84" s="8" t="str">
        <x:v>生/可食部</x:v>
      </x:c>
      <x:c r="E84" s="34" t="n">
        <x:v>43</x:v>
      </x:c>
      <x:c r="F84" s="34" t="n">
        <x:v>0.5</x:v>
      </x:c>
      <x:c r="G84" s="34" t="n">
        <x:v>0.3</x:v>
      </x:c>
      <x:c r="H84" s="34" t="n">
        <x:v>10.8</x:v>
      </x:c>
      <x:c r="I84" s="34" t="n">
        <x:v>8</x:v>
      </x:c>
      <x:c r="J84" s="8" t="str">
        <x:v>USDA FDC</x:v>
      </x:c>
      <x:c r="K84" s="8" t="str"/>
    </x:row>
    <x:row r="85">
      <x:c r="A85" s="8" t="str">
        <x:v>FR010</x:v>
      </x:c>
      <x:c r="B85" s="8" t="str">
        <x:v>水果</x:v>
      </x:c>
      <x:c r="C85" s="8" t="str">
        <x:v>葡萄</x:v>
      </x:c>
      <x:c r="D85" s="8" t="str">
        <x:v>生/可食部</x:v>
      </x:c>
      <x:c r="E85" s="34" t="n">
        <x:v>69</x:v>
      </x:c>
      <x:c r="F85" s="34" t="n">
        <x:v>0.7</x:v>
      </x:c>
      <x:c r="G85" s="34" t="n">
        <x:v>0.2</x:v>
      </x:c>
      <x:c r="H85" s="34" t="n">
        <x:v>18.1</x:v>
      </x:c>
      <x:c r="I85" s="34" t="n">
        <x:v>2</x:v>
      </x:c>
      <x:c r="J85" s="8" t="str">
        <x:v>USDA FDC</x:v>
      </x:c>
      <x:c r="K85" s="8" t="str"/>
    </x:row>
    <x:row r="86">
      <x:c r="A86" s="8" t="str">
        <x:v>FR011</x:v>
      </x:c>
      <x:c r="B86" s="8" t="str">
        <x:v>水果</x:v>
      </x:c>
      <x:c r="C86" s="8" t="str">
        <x:v>草莓</x:v>
      </x:c>
      <x:c r="D86" s="8" t="str">
        <x:v>生/可食部</x:v>
      </x:c>
      <x:c r="E86" s="34" t="n">
        <x:v>32</x:v>
      </x:c>
      <x:c r="F86" s="34" t="n">
        <x:v>0.7</x:v>
      </x:c>
      <x:c r="G86" s="34" t="n">
        <x:v>0.3</x:v>
      </x:c>
      <x:c r="H86" s="34" t="n">
        <x:v>7.7</x:v>
      </x:c>
      <x:c r="I86" s="34" t="n">
        <x:v>1</x:v>
      </x:c>
      <x:c r="J86" s="8" t="str">
        <x:v>USDA FDC</x:v>
      </x:c>
      <x:c r="K86" s="8" t="str"/>
    </x:row>
    <x:row r="87">
      <x:c r="A87" s="8" t="str">
        <x:v>FR012</x:v>
      </x:c>
      <x:c r="B87" s="8" t="str">
        <x:v>水果</x:v>
      </x:c>
      <x:c r="C87" s="8" t="str">
        <x:v>藍莓</x:v>
      </x:c>
      <x:c r="D87" s="8" t="str">
        <x:v>生/可食部</x:v>
      </x:c>
      <x:c r="E87" s="34" t="n">
        <x:v>57</x:v>
      </x:c>
      <x:c r="F87" s="34" t="n">
        <x:v>0.7</x:v>
      </x:c>
      <x:c r="G87" s="34" t="n">
        <x:v>0.3</x:v>
      </x:c>
      <x:c r="H87" s="34" t="n">
        <x:v>14.5</x:v>
      </x:c>
      <x:c r="I87" s="34" t="n">
        <x:v>1</x:v>
      </x:c>
      <x:c r="J87" s="8" t="str">
        <x:v>USDA FDC</x:v>
      </x:c>
      <x:c r="K87" s="8" t="str"/>
    </x:row>
    <x:row r="88">
      <x:c r="A88" s="8" t="str">
        <x:v>FR013</x:v>
      </x:c>
      <x:c r="B88" s="8" t="str">
        <x:v>水果</x:v>
      </x:c>
      <x:c r="C88" s="8" t="str">
        <x:v>酪梨</x:v>
      </x:c>
      <x:c r="D88" s="8" t="str">
        <x:v>生/可食部</x:v>
      </x:c>
      <x:c r="E88" s="34" t="n">
        <x:v>160</x:v>
      </x:c>
      <x:c r="F88" s="34" t="n">
        <x:v>2</x:v>
      </x:c>
      <x:c r="G88" s="34" t="n">
        <x:v>14.7</x:v>
      </x:c>
      <x:c r="H88" s="34" t="n">
        <x:v>8.5</x:v>
      </x:c>
      <x:c r="I88" s="34" t="n">
        <x:v>7</x:v>
      </x:c>
      <x:c r="J88" s="8" t="str">
        <x:v>USDA FDC</x:v>
      </x:c>
      <x:c r="K88" s="8" t="str">
        <x:v>高脂水果</x:v>
      </x:c>
    </x:row>
    <x:row r="89">
      <x:c r="A89" s="8" t="str">
        <x:v>FR014</x:v>
      </x:c>
      <x:c r="B89" s="8" t="str">
        <x:v>水果</x:v>
      </x:c>
      <x:c r="C89" s="8" t="str">
        <x:v>水梨</x:v>
      </x:c>
      <x:c r="D89" s="8" t="str">
        <x:v>生/可食部</x:v>
      </x:c>
      <x:c r="E89" s="34" t="n">
        <x:v>57</x:v>
      </x:c>
      <x:c r="F89" s="34" t="n">
        <x:v>0.4</x:v>
      </x:c>
      <x:c r="G89" s="34" t="n">
        <x:v>0.1</x:v>
      </x:c>
      <x:c r="H89" s="34" t="n">
        <x:v>15.2</x:v>
      </x:c>
      <x:c r="I89" s="34" t="n">
        <x:v>1</x:v>
      </x:c>
      <x:c r="J89" s="8" t="str">
        <x:v>USDA FDC</x:v>
      </x:c>
      <x:c r="K89" s="8" t="str"/>
    </x:row>
    <x:row r="90">
      <x:c r="A90" s="8" t="str">
        <x:v>FR015</x:v>
      </x:c>
      <x:c r="B90" s="8" t="str">
        <x:v>水果</x:v>
      </x:c>
      <x:c r="C90" s="8" t="str">
        <x:v>火龍果</x:v>
      </x:c>
      <x:c r="D90" s="8" t="str">
        <x:v>生/可食部</x:v>
      </x:c>
      <x:c r="E90" s="34" t="n">
        <x:v>57</x:v>
      </x:c>
      <x:c r="F90" s="34" t="n">
        <x:v>1.1</x:v>
      </x:c>
      <x:c r="G90" s="34" t="n">
        <x:v>0.1</x:v>
      </x:c>
      <x:c r="H90" s="34" t="n">
        <x:v>13</x:v>
      </x:c>
      <x:c r="I90" s="34" t="n">
        <x:v>0</x:v>
      </x:c>
      <x:c r="J90" s="8" t="str">
        <x:v>Taiwan FDA nutrition DB / estimate</x:v>
      </x:c>
      <x:c r="K90" s="8" t="str">
        <x:v>紅白肉品種略有差異</x:v>
      </x:c>
    </x:row>
    <x:row r="91">
      <x:c r="A91" s="8" t="str">
        <x:v>FR016</x:v>
      </x:c>
      <x:c r="B91" s="8" t="str">
        <x:v>水果</x:v>
      </x:c>
      <x:c r="C91" s="8" t="str">
        <x:v>柚子</x:v>
      </x:c>
      <x:c r="D91" s="8" t="str">
        <x:v>生/可食部</x:v>
      </x:c>
      <x:c r="E91" s="34" t="n">
        <x:v>38</x:v>
      </x:c>
      <x:c r="F91" s="34" t="n">
        <x:v>0.8</x:v>
      </x:c>
      <x:c r="G91" s="34" t="n">
        <x:v>0</x:v>
      </x:c>
      <x:c r="H91" s="34" t="n">
        <x:v>9.6</x:v>
      </x:c>
      <x:c r="I91" s="34" t="n">
        <x:v>1</x:v>
      </x:c>
      <x:c r="J91" s="8" t="str">
        <x:v>USDA FDC / Taiwan FDA nutrition DB</x:v>
      </x:c>
      <x:c r="K91" s="8" t="str"/>
    </x:row>
    <x:row r="92">
      <x:c r="A92" s="8" t="str">
        <x:v>NS001</x:v>
      </x:c>
      <x:c r="B92" s="8" t="str">
        <x:v>堅果/種子</x:v>
      </x:c>
      <x:c r="C92" s="8" t="str">
        <x:v>杏仁</x:v>
      </x:c>
      <x:c r="D92" s="8" t="str">
        <x:v>乾/可食部</x:v>
      </x:c>
      <x:c r="E92" s="34" t="n">
        <x:v>579</x:v>
      </x:c>
      <x:c r="F92" s="34" t="n">
        <x:v>21.2</x:v>
      </x:c>
      <x:c r="G92" s="34" t="n">
        <x:v>49.9</x:v>
      </x:c>
      <x:c r="H92" s="34" t="n">
        <x:v>21.6</x:v>
      </x:c>
      <x:c r="I92" s="34" t="n">
        <x:v>1</x:v>
      </x:c>
      <x:c r="J92" s="8" t="str">
        <x:v>USDA FDC</x:v>
      </x:c>
      <x:c r="K92" s="8" t="str">
        <x:v>無調味</x:v>
      </x:c>
    </x:row>
    <x:row r="93">
      <x:c r="A93" s="8" t="str">
        <x:v>NS002</x:v>
      </x:c>
      <x:c r="B93" s="8" t="str">
        <x:v>堅果/種子</x:v>
      </x:c>
      <x:c r="C93" s="8" t="str">
        <x:v>核桃</x:v>
      </x:c>
      <x:c r="D93" s="8" t="str">
        <x:v>乾/可食部</x:v>
      </x:c>
      <x:c r="E93" s="34" t="n">
        <x:v>654</x:v>
      </x:c>
      <x:c r="F93" s="34" t="n">
        <x:v>15.2</x:v>
      </x:c>
      <x:c r="G93" s="34" t="n">
        <x:v>65.2</x:v>
      </x:c>
      <x:c r="H93" s="34" t="n">
        <x:v>13.7</x:v>
      </x:c>
      <x:c r="I93" s="34" t="n">
        <x:v>2</x:v>
      </x:c>
      <x:c r="J93" s="8" t="str">
        <x:v>USDA FDC</x:v>
      </x:c>
      <x:c r="K93" s="8" t="str">
        <x:v>無調味</x:v>
      </x:c>
    </x:row>
    <x:row r="94">
      <x:c r="A94" s="8" t="str">
        <x:v>NS003</x:v>
      </x:c>
      <x:c r="B94" s="8" t="str">
        <x:v>堅果/種子</x:v>
      </x:c>
      <x:c r="C94" s="8" t="str">
        <x:v>腰果</x:v>
      </x:c>
      <x:c r="D94" s="8" t="str">
        <x:v>乾/可食部</x:v>
      </x:c>
      <x:c r="E94" s="34" t="n">
        <x:v>553</x:v>
      </x:c>
      <x:c r="F94" s="34" t="n">
        <x:v>18.2</x:v>
      </x:c>
      <x:c r="G94" s="34" t="n">
        <x:v>43.9</x:v>
      </x:c>
      <x:c r="H94" s="34" t="n">
        <x:v>30.2</x:v>
      </x:c>
      <x:c r="I94" s="34" t="n">
        <x:v>12</x:v>
      </x:c>
      <x:c r="J94" s="8" t="str">
        <x:v>USDA FDC</x:v>
      </x:c>
      <x:c r="K94" s="8" t="str">
        <x:v>無調味</x:v>
      </x:c>
    </x:row>
    <x:row r="95">
      <x:c r="A95" s="8" t="str">
        <x:v>NS004</x:v>
      </x:c>
      <x:c r="B95" s="8" t="str">
        <x:v>堅果/種子</x:v>
      </x:c>
      <x:c r="C95" s="8" t="str">
        <x:v>花生</x:v>
      </x:c>
      <x:c r="D95" s="8" t="str">
        <x:v>乾/可食部</x:v>
      </x:c>
      <x:c r="E95" s="34" t="n">
        <x:v>567</x:v>
      </x:c>
      <x:c r="F95" s="34" t="n">
        <x:v>25.8</x:v>
      </x:c>
      <x:c r="G95" s="34" t="n">
        <x:v>49.2</x:v>
      </x:c>
      <x:c r="H95" s="34" t="n">
        <x:v>16.1</x:v>
      </x:c>
      <x:c r="I95" s="34" t="n">
        <x:v>18</x:v>
      </x:c>
      <x:c r="J95" s="8" t="str">
        <x:v>USDA FDC</x:v>
      </x:c>
      <x:c r="K95" s="8" t="str">
        <x:v>無調味</x:v>
      </x:c>
    </x:row>
    <x:row r="96">
      <x:c r="A96" s="8" t="str">
        <x:v>NS005</x:v>
      </x:c>
      <x:c r="B96" s="8" t="str">
        <x:v>堅果/種子</x:v>
      </x:c>
      <x:c r="C96" s="8" t="str">
        <x:v>芝麻</x:v>
      </x:c>
      <x:c r="D96" s="8" t="str">
        <x:v>乾/可食部</x:v>
      </x:c>
      <x:c r="E96" s="34" t="n">
        <x:v>573</x:v>
      </x:c>
      <x:c r="F96" s="34" t="n">
        <x:v>17.7</x:v>
      </x:c>
      <x:c r="G96" s="34" t="n">
        <x:v>49.7</x:v>
      </x:c>
      <x:c r="H96" s="34" t="n">
        <x:v>23.4</x:v>
      </x:c>
      <x:c r="I96" s="34" t="n">
        <x:v>11</x:v>
      </x:c>
      <x:c r="J96" s="8" t="str">
        <x:v>USDA FDC</x:v>
      </x:c>
      <x:c r="K96" s="8" t="str"/>
    </x:row>
    <x:row r="97">
      <x:c r="A97" s="8" t="str">
        <x:v>NS006</x:v>
      </x:c>
      <x:c r="B97" s="8" t="str">
        <x:v>堅果/種子</x:v>
      </x:c>
      <x:c r="C97" s="8" t="str">
        <x:v>奇亞籽</x:v>
      </x:c>
      <x:c r="D97" s="8" t="str">
        <x:v>乾/可食部</x:v>
      </x:c>
      <x:c r="E97" s="34" t="n">
        <x:v>486</x:v>
      </x:c>
      <x:c r="F97" s="34" t="n">
        <x:v>16.5</x:v>
      </x:c>
      <x:c r="G97" s="34" t="n">
        <x:v>30.7</x:v>
      </x:c>
      <x:c r="H97" s="34" t="n">
        <x:v>42.1</x:v>
      </x:c>
      <x:c r="I97" s="34" t="n">
        <x:v>16</x:v>
      </x:c>
      <x:c r="J97" s="8" t="str">
        <x:v>USDA FDC</x:v>
      </x:c>
      <x:c r="K97" s="8" t="str"/>
    </x:row>
    <x:row r="98">
      <x:c r="A98" s="8" t="str">
        <x:v>NS007</x:v>
      </x:c>
      <x:c r="B98" s="8" t="str">
        <x:v>堅果/種子</x:v>
      </x:c>
      <x:c r="C98" s="8" t="str">
        <x:v>亞麻籽</x:v>
      </x:c>
      <x:c r="D98" s="8" t="str">
        <x:v>乾/可食部</x:v>
      </x:c>
      <x:c r="E98" s="34" t="n">
        <x:v>534</x:v>
      </x:c>
      <x:c r="F98" s="34" t="n">
        <x:v>18.3</x:v>
      </x:c>
      <x:c r="G98" s="34" t="n">
        <x:v>42.2</x:v>
      </x:c>
      <x:c r="H98" s="34" t="n">
        <x:v>28.9</x:v>
      </x:c>
      <x:c r="I98" s="34" t="n">
        <x:v>30</x:v>
      </x:c>
      <x:c r="J98" s="8" t="str">
        <x:v>USDA FDC</x:v>
      </x:c>
      <x:c r="K98" s="8" t="str"/>
    </x:row>
    <x:row r="99">
      <x:c r="A99" s="8" t="str">
        <x:v>OI001</x:v>
      </x:c>
      <x:c r="B99" s="8" t="str">
        <x:v>油脂</x:v>
      </x:c>
      <x:c r="C99" s="8" t="str">
        <x:v>橄欖油</x:v>
      </x:c>
      <x:c r="D99" s="8" t="str">
        <x:v>可食部</x:v>
      </x:c>
      <x:c r="E99" s="34" t="n">
        <x:v>884</x:v>
      </x:c>
      <x:c r="F99" s="34" t="n">
        <x:v>0</x:v>
      </x:c>
      <x:c r="G99" s="34" t="n">
        <x:v>100</x:v>
      </x:c>
      <x:c r="H99" s="34" t="n">
        <x:v>0</x:v>
      </x:c>
      <x:c r="I99" s="34" t="n">
        <x:v>2</x:v>
      </x:c>
      <x:c r="J99" s="8" t="str">
        <x:v>USDA FDC</x:v>
      </x:c>
      <x:c r="K99" s="8" t="str">
        <x:v>油脂建議走 Oil_Rules，不要讓用戶直接選</x:v>
      </x:c>
    </x:row>
    <x:row r="100">
      <x:c r="A100" s="8" t="str">
        <x:v>OI002</x:v>
      </x:c>
      <x:c r="B100" s="8" t="str">
        <x:v>油脂</x:v>
      </x:c>
      <x:c r="C100" s="8" t="str">
        <x:v>芥花油</x:v>
      </x:c>
      <x:c r="D100" s="8" t="str">
        <x:v>可食部</x:v>
      </x:c>
      <x:c r="E100" s="34" t="n">
        <x:v>884</x:v>
      </x:c>
      <x:c r="F100" s="34" t="n">
        <x:v>0</x:v>
      </x:c>
      <x:c r="G100" s="34" t="n">
        <x:v>100</x:v>
      </x:c>
      <x:c r="H100" s="34" t="n">
        <x:v>0</x:v>
      </x:c>
      <x:c r="I100" s="34" t="n">
        <x:v>0</x:v>
      </x:c>
      <x:c r="J100" s="8" t="str">
        <x:v>USDA FDC</x:v>
      </x:c>
      <x:c r="K100" s="8" t="str">
        <x:v>油脂建議走 Oil_Rules，不要讓用戶直接選</x:v>
      </x:c>
    </x:row>
    <x:row r="101">
      <x:c r="A101" s="8" t="str">
        <x:v>OI003</x:v>
      </x:c>
      <x:c r="B101" s="8" t="str">
        <x:v>油脂</x:v>
      </x:c>
      <x:c r="C101" s="8" t="str">
        <x:v>沙拉油/大豆油</x:v>
      </x:c>
      <x:c r="D101" s="8" t="str">
        <x:v>可食部</x:v>
      </x:c>
      <x:c r="E101" s="34" t="n">
        <x:v>884</x:v>
      </x:c>
      <x:c r="F101" s="34" t="n">
        <x:v>0</x:v>
      </x:c>
      <x:c r="G101" s="34" t="n">
        <x:v>100</x:v>
      </x:c>
      <x:c r="H101" s="34" t="n">
        <x:v>0</x:v>
      </x:c>
      <x:c r="I101" s="34" t="n">
        <x:v>0</x:v>
      </x:c>
      <x:c r="J101" s="8" t="str">
        <x:v>USDA FDC</x:v>
      </x:c>
      <x:c r="K101" s="8" t="str">
        <x:v>油脂建議走 Oil_Rules，不要讓用戶直接選</x:v>
      </x:c>
    </x:row>
    <x:row r="102">
      <x:c r="A102" s="8" t="str">
        <x:v>OT001</x:v>
      </x:c>
      <x:c r="B102" s="8" t="str">
        <x:v>其他原形/常用</x:v>
      </x:c>
      <x:c r="C102" s="8" t="str">
        <x:v>蒟蒻</x:v>
      </x:c>
      <x:c r="D102" s="8" t="str">
        <x:v>可食部</x:v>
      </x:c>
      <x:c r="E102" s="34" t="n">
        <x:v>7</x:v>
      </x:c>
      <x:c r="F102" s="34" t="n">
        <x:v>0</x:v>
      </x:c>
      <x:c r="G102" s="34" t="n">
        <x:v>0</x:v>
      </x:c>
      <x:c r="H102" s="34" t="n">
        <x:v>3</x:v>
      </x:c>
      <x:c r="I102" s="34" t="n">
        <x:v>10</x:v>
      </x:c>
      <x:c r="J102" s="8" t="str">
        <x:v>Taiwan FDA nutrition DB / estimate</x:v>
      </x:c>
      <x:c r="K102" s="8" t="str">
        <x:v>加工品常含鈉，需看標示</x:v>
      </x:c>
    </x:row>
    <x:row r="103">
      <x:c r="A103" s="8" t="str">
        <x:v>OT002</x:v>
      </x:c>
      <x:c r="B103" s="8" t="str">
        <x:v>其他原形/常用</x:v>
      </x:c>
      <x:c r="C103" s="8" t="str">
        <x:v>海苔（無調味）</x:v>
      </x:c>
      <x:c r="D103" s="8" t="str">
        <x:v>乾/可食部</x:v>
      </x:c>
      <x:c r="E103" s="34" t="n">
        <x:v>306</x:v>
      </x:c>
      <x:c r="F103" s="34" t="n">
        <x:v>41.4</x:v>
      </x:c>
      <x:c r="G103" s="34" t="n">
        <x:v>3.7</x:v>
      </x:c>
      <x:c r="H103" s="34" t="n">
        <x:v>44.3</x:v>
      </x:c>
      <x:c r="I103" s="34" t="n">
        <x:v>48</x:v>
      </x:c>
      <x:c r="J103" s="8" t="str">
        <x:v>USDA FDC / estimate</x:v>
      </x:c>
      <x:c r="K103" s="8" t="str">
        <x:v>重量通常很小</x:v>
      </x:c>
    </x:row>
    <x:row r="104">
      <x:c r="A104" s="8" t="str">
        <x:v>OT003</x:v>
      </x:c>
      <x:c r="B104" s="8" t="str">
        <x:v>其他原形/常用</x:v>
      </x:c>
      <x:c r="C104" s="8" t="str">
        <x:v>蜂蜜</x:v>
      </x:c>
      <x:c r="D104" s="8" t="str">
        <x:v>可食部</x:v>
      </x:c>
      <x:c r="E104" s="34" t="n">
        <x:v>304</x:v>
      </x:c>
      <x:c r="F104" s="34" t="n">
        <x:v>0.3</x:v>
      </x:c>
      <x:c r="G104" s="34" t="n">
        <x:v>0</x:v>
      </x:c>
      <x:c r="H104" s="34" t="n">
        <x:v>82.4</x:v>
      </x:c>
      <x:c r="I104" s="34" t="n">
        <x:v>4</x:v>
      </x:c>
      <x:c r="J104" s="8" t="str">
        <x:v>USDA FDC</x:v>
      </x:c>
      <x:c r="K104" s="8" t="str">
        <x:v>不是減脂主食，但可作醬汁/糖源</x:v>
      </x:c>
    </x:row>
    <x:row r="105">
      <x:c r="A105" s="8"/>
      <x:c r="B105" s="8"/>
      <x:c r="C105" s="8"/>
      <x:c r="D105" s="8"/>
      <x:c r="E105" s="34"/>
      <x:c r="F105" s="34"/>
      <x:c r="G105" s="34"/>
      <x:c r="H105" s="34"/>
      <x:c r="I105" s="34"/>
      <x:c r="J105" s="8"/>
      <x:c r="K105" s="8"/>
    </x:row>
    <x:row r="106">
      <x:c r="A106" s="8"/>
      <x:c r="B106" s="8"/>
      <x:c r="C106" s="8"/>
      <x:c r="D106" s="8"/>
      <x:c r="E106" s="34"/>
      <x:c r="F106" s="34"/>
      <x:c r="G106" s="34"/>
      <x:c r="H106" s="34"/>
      <x:c r="I106" s="34"/>
      <x:c r="J106" s="8"/>
      <x:c r="K106" s="8"/>
    </x:row>
    <x:row r="107">
      <x:c r="A107" s="8"/>
      <x:c r="B107" s="8"/>
      <x:c r="C107" s="8"/>
      <x:c r="D107" s="8"/>
      <x:c r="E107" s="34"/>
      <x:c r="F107" s="34"/>
      <x:c r="G107" s="34"/>
      <x:c r="H107" s="34"/>
      <x:c r="I107" s="34"/>
      <x:c r="J107" s="8"/>
      <x:c r="K107" s="8"/>
    </x:row>
    <x:row r="108">
      <x:c r="A108" s="8"/>
      <x:c r="B108" s="8"/>
      <x:c r="C108" s="8"/>
      <x:c r="D108" s="8"/>
      <x:c r="E108" s="34"/>
      <x:c r="F108" s="34"/>
      <x:c r="G108" s="34"/>
      <x:c r="H108" s="34"/>
      <x:c r="I108" s="34"/>
      <x:c r="J108" s="8"/>
      <x:c r="K108" s="8"/>
    </x:row>
    <x:row r="109">
      <x:c r="A109" s="8"/>
      <x:c r="B109" s="8"/>
      <x:c r="C109" s="8"/>
      <x:c r="D109" s="8"/>
      <x:c r="E109" s="34"/>
      <x:c r="F109" s="34"/>
      <x:c r="G109" s="34"/>
      <x:c r="H109" s="34"/>
      <x:c r="I109" s="34"/>
      <x:c r="J109" s="8"/>
      <x:c r="K109" s="8"/>
    </x:row>
    <x:row r="110">
      <x:c r="A110" s="8"/>
      <x:c r="B110" s="8"/>
      <x:c r="C110" s="8"/>
      <x:c r="D110" s="8"/>
      <x:c r="E110" s="34"/>
      <x:c r="F110" s="34"/>
      <x:c r="G110" s="34"/>
      <x:c r="H110" s="34"/>
      <x:c r="I110" s="34"/>
      <x:c r="J110" s="8"/>
      <x:c r="K110" s="8"/>
    </x:row>
    <x:row r="111">
      <x:c r="A111" s="8"/>
      <x:c r="B111" s="8"/>
      <x:c r="C111" s="8"/>
      <x:c r="D111" s="8"/>
      <x:c r="E111" s="34"/>
      <x:c r="F111" s="34"/>
      <x:c r="G111" s="34"/>
      <x:c r="H111" s="34"/>
      <x:c r="I111" s="34"/>
      <x:c r="J111" s="8"/>
      <x:c r="K111" s="8"/>
    </x:row>
    <x:row r="112">
      <x:c r="A112" s="8"/>
      <x:c r="B112" s="8"/>
      <x:c r="C112" s="8"/>
      <x:c r="D112" s="8"/>
      <x:c r="E112" s="34"/>
      <x:c r="F112" s="34"/>
      <x:c r="G112" s="34"/>
      <x:c r="H112" s="34"/>
      <x:c r="I112" s="34"/>
      <x:c r="J112" s="8"/>
      <x:c r="K112" s="8"/>
    </x:row>
    <x:row r="113">
      <x:c r="A113" s="8"/>
      <x:c r="B113" s="8"/>
      <x:c r="C113" s="8"/>
      <x:c r="D113" s="8"/>
      <x:c r="E113" s="34"/>
      <x:c r="F113" s="34"/>
      <x:c r="G113" s="34"/>
      <x:c r="H113" s="34"/>
      <x:c r="I113" s="34"/>
      <x:c r="J113" s="8"/>
      <x:c r="K113" s="8"/>
    </x:row>
    <x:row r="114">
      <x:c r="A114" s="8"/>
      <x:c r="B114" s="8"/>
      <x:c r="C114" s="8"/>
      <x:c r="D114" s="8"/>
      <x:c r="E114" s="34"/>
      <x:c r="F114" s="34"/>
      <x:c r="G114" s="34"/>
      <x:c r="H114" s="34"/>
      <x:c r="I114" s="34"/>
      <x:c r="J114" s="8"/>
      <x:c r="K114" s="8"/>
    </x:row>
    <x:row r="115">
      <x:c r="A115" s="8"/>
      <x:c r="B115" s="8"/>
      <x:c r="C115" s="8"/>
      <x:c r="D115" s="8"/>
      <x:c r="E115" s="34"/>
      <x:c r="F115" s="34"/>
      <x:c r="G115" s="34"/>
      <x:c r="H115" s="34"/>
      <x:c r="I115" s="34"/>
      <x:c r="J115" s="8"/>
      <x:c r="K115" s="8"/>
    </x:row>
    <x:row r="116">
      <x:c r="A116" s="8"/>
      <x:c r="B116" s="8"/>
      <x:c r="C116" s="8"/>
      <x:c r="D116" s="8"/>
      <x:c r="E116" s="34"/>
      <x:c r="F116" s="34"/>
      <x:c r="G116" s="34"/>
      <x:c r="H116" s="34"/>
      <x:c r="I116" s="34"/>
      <x:c r="J116" s="8"/>
      <x:c r="K116" s="8"/>
    </x:row>
    <x:row r="117">
      <x:c r="A117" s="8"/>
      <x:c r="B117" s="8"/>
      <x:c r="C117" s="8"/>
      <x:c r="D117" s="8"/>
      <x:c r="E117" s="34"/>
      <x:c r="F117" s="34"/>
      <x:c r="G117" s="34"/>
      <x:c r="H117" s="34"/>
      <x:c r="I117" s="34"/>
      <x:c r="J117" s="8"/>
      <x:c r="K117" s="8"/>
    </x:row>
    <x:row r="118">
      <x:c r="A118" s="8"/>
      <x:c r="B118" s="8"/>
      <x:c r="C118" s="8"/>
      <x:c r="D118" s="8"/>
      <x:c r="E118" s="34"/>
      <x:c r="F118" s="34"/>
      <x:c r="G118" s="34"/>
      <x:c r="H118" s="34"/>
      <x:c r="I118" s="34"/>
      <x:c r="J118" s="8"/>
      <x:c r="K118" s="8"/>
    </x:row>
    <x:row r="119">
      <x:c r="A119" s="8"/>
      <x:c r="B119" s="8"/>
      <x:c r="C119" s="8"/>
      <x:c r="D119" s="8"/>
      <x:c r="E119" s="34"/>
      <x:c r="F119" s="34"/>
      <x:c r="G119" s="34"/>
      <x:c r="H119" s="34"/>
      <x:c r="I119" s="34"/>
      <x:c r="J119" s="8"/>
      <x:c r="K119" s="8"/>
    </x:row>
    <x:row r="120">
      <x:c r="A120" s="8"/>
      <x:c r="B120" s="8"/>
      <x:c r="C120" s="8"/>
      <x:c r="D120" s="8"/>
      <x:c r="E120" s="34"/>
      <x:c r="F120" s="34"/>
      <x:c r="G120" s="34"/>
      <x:c r="H120" s="34"/>
      <x:c r="I120" s="34"/>
      <x:c r="J120" s="8"/>
      <x:c r="K120" s="8"/>
    </x:row>
    <x:row r="121">
      <x:c r="A121" s="8"/>
      <x:c r="B121" s="8"/>
      <x:c r="C121" s="8"/>
      <x:c r="D121" s="8"/>
      <x:c r="E121" s="34"/>
      <x:c r="F121" s="34"/>
      <x:c r="G121" s="34"/>
      <x:c r="H121" s="34"/>
      <x:c r="I121" s="34"/>
      <x:c r="J121" s="8"/>
      <x:c r="K121" s="8"/>
    </x:row>
    <x:row r="122">
      <x:c r="A122" s="8"/>
      <x:c r="B122" s="8"/>
      <x:c r="C122" s="8"/>
      <x:c r="D122" s="8"/>
      <x:c r="E122" s="34"/>
      <x:c r="F122" s="34"/>
      <x:c r="G122" s="34"/>
      <x:c r="H122" s="34"/>
      <x:c r="I122" s="34"/>
      <x:c r="J122" s="8"/>
      <x:c r="K122" s="8"/>
    </x:row>
    <x:row r="123">
      <x:c r="A123" s="8"/>
      <x:c r="B123" s="8"/>
      <x:c r="C123" s="8"/>
      <x:c r="D123" s="8"/>
      <x:c r="E123" s="34"/>
      <x:c r="F123" s="34"/>
      <x:c r="G123" s="34"/>
      <x:c r="H123" s="34"/>
      <x:c r="I123" s="34"/>
      <x:c r="J123" s="8"/>
      <x:c r="K123" s="8"/>
    </x:row>
    <x:row r="124">
      <x:c r="A124" s="8"/>
      <x:c r="B124" s="8"/>
      <x:c r="C124" s="8"/>
      <x:c r="D124" s="8"/>
      <x:c r="E124" s="34"/>
      <x:c r="F124" s="34"/>
      <x:c r="G124" s="34"/>
      <x:c r="H124" s="34"/>
      <x:c r="I124" s="34"/>
      <x:c r="J124" s="8"/>
      <x:c r="K124" s="8"/>
    </x:row>
    <x:row r="125">
      <x:c r="A125" s="8"/>
      <x:c r="B125" s="8"/>
      <x:c r="C125" s="8"/>
      <x:c r="D125" s="8"/>
      <x:c r="E125" s="34"/>
      <x:c r="F125" s="34"/>
      <x:c r="G125" s="34"/>
      <x:c r="H125" s="34"/>
      <x:c r="I125" s="34"/>
      <x:c r="J125" s="8"/>
      <x:c r="K125" s="8"/>
    </x:row>
    <x:row r="126">
      <x:c r="A126" s="8"/>
      <x:c r="B126" s="8"/>
      <x:c r="C126" s="8"/>
      <x:c r="D126" s="8"/>
      <x:c r="E126" s="34"/>
      <x:c r="F126" s="34"/>
      <x:c r="G126" s="34"/>
      <x:c r="H126" s="34"/>
      <x:c r="I126" s="34"/>
      <x:c r="J126" s="8"/>
      <x:c r="K126" s="8"/>
    </x:row>
    <x:row r="127">
      <x:c r="A127" s="8"/>
      <x:c r="B127" s="8"/>
      <x:c r="C127" s="8"/>
      <x:c r="D127" s="8"/>
      <x:c r="E127" s="34"/>
      <x:c r="F127" s="34"/>
      <x:c r="G127" s="34"/>
      <x:c r="H127" s="34"/>
      <x:c r="I127" s="34"/>
      <x:c r="J127" s="8"/>
      <x:c r="K127" s="8"/>
    </x:row>
    <x:row r="128">
      <x:c r="A128" s="8"/>
      <x:c r="B128" s="8"/>
      <x:c r="C128" s="8"/>
      <x:c r="D128" s="8"/>
      <x:c r="E128" s="34"/>
      <x:c r="F128" s="34"/>
      <x:c r="G128" s="34"/>
      <x:c r="H128" s="34"/>
      <x:c r="I128" s="34"/>
      <x:c r="J128" s="8"/>
      <x:c r="K128" s="8"/>
    </x:row>
    <x:row r="129">
      <x:c r="A129" s="8"/>
      <x:c r="B129" s="8"/>
      <x:c r="C129" s="8"/>
      <x:c r="D129" s="8"/>
      <x:c r="E129" s="34"/>
      <x:c r="F129" s="34"/>
      <x:c r="G129" s="34"/>
      <x:c r="H129" s="34"/>
      <x:c r="I129" s="34"/>
      <x:c r="J129" s="8"/>
      <x:c r="K129" s="8"/>
    </x:row>
    <x:row r="130">
      <x:c r="A130" s="8"/>
      <x:c r="B130" s="8"/>
      <x:c r="C130" s="8"/>
      <x:c r="D130" s="8"/>
      <x:c r="E130" s="34"/>
      <x:c r="F130" s="34"/>
      <x:c r="G130" s="34"/>
      <x:c r="H130" s="34"/>
      <x:c r="I130" s="34"/>
      <x:c r="J130" s="8"/>
      <x:c r="K130" s="8"/>
    </x:row>
    <x:row r="131">
      <x:c r="A131" s="8"/>
      <x:c r="B131" s="8"/>
      <x:c r="C131" s="8"/>
      <x:c r="D131" s="8"/>
      <x:c r="E131" s="34"/>
      <x:c r="F131" s="34"/>
      <x:c r="G131" s="34"/>
      <x:c r="H131" s="34"/>
      <x:c r="I131" s="34"/>
      <x:c r="J131" s="8"/>
      <x:c r="K131" s="8"/>
    </x:row>
    <x:row r="132">
      <x:c r="A132" s="8"/>
      <x:c r="B132" s="8"/>
      <x:c r="C132" s="8"/>
      <x:c r="D132" s="8"/>
      <x:c r="E132" s="34"/>
      <x:c r="F132" s="34"/>
      <x:c r="G132" s="34"/>
      <x:c r="H132" s="34"/>
      <x:c r="I132" s="34"/>
      <x:c r="J132" s="8"/>
      <x:c r="K132" s="8"/>
    </x:row>
    <x:row r="133">
      <x:c r="A133" s="8"/>
      <x:c r="B133" s="8"/>
      <x:c r="C133" s="8"/>
      <x:c r="D133" s="8"/>
      <x:c r="E133" s="34"/>
      <x:c r="F133" s="34"/>
      <x:c r="G133" s="34"/>
      <x:c r="H133" s="34"/>
      <x:c r="I133" s="34"/>
      <x:c r="J133" s="8"/>
      <x:c r="K133" s="8"/>
    </x:row>
    <x:row r="134">
      <x:c r="A134" s="8"/>
      <x:c r="B134" s="8"/>
      <x:c r="C134" s="8"/>
      <x:c r="D134" s="8"/>
      <x:c r="E134" s="34"/>
      <x:c r="F134" s="34"/>
      <x:c r="G134" s="34"/>
      <x:c r="H134" s="34"/>
      <x:c r="I134" s="34"/>
      <x:c r="J134" s="8"/>
      <x:c r="K134" s="8"/>
    </x:row>
    <x:row r="135">
      <x:c r="A135" s="8"/>
      <x:c r="B135" s="8"/>
      <x:c r="C135" s="8"/>
      <x:c r="D135" s="8"/>
      <x:c r="E135" s="34"/>
      <x:c r="F135" s="34"/>
      <x:c r="G135" s="34"/>
      <x:c r="H135" s="34"/>
      <x:c r="I135" s="34"/>
      <x:c r="J135" s="8"/>
      <x:c r="K135" s="8"/>
    </x:row>
    <x:row r="136">
      <x:c r="A136" s="8"/>
      <x:c r="B136" s="8"/>
      <x:c r="C136" s="8"/>
      <x:c r="D136" s="8"/>
      <x:c r="E136" s="34"/>
      <x:c r="F136" s="34"/>
      <x:c r="G136" s="34"/>
      <x:c r="H136" s="34"/>
      <x:c r="I136" s="34"/>
      <x:c r="J136" s="8"/>
      <x:c r="K136" s="8"/>
    </x:row>
    <x:row r="137">
      <x:c r="A137" s="8"/>
      <x:c r="B137" s="8"/>
      <x:c r="C137" s="8"/>
      <x:c r="D137" s="8"/>
      <x:c r="E137" s="34"/>
      <x:c r="F137" s="34"/>
      <x:c r="G137" s="34"/>
      <x:c r="H137" s="34"/>
      <x:c r="I137" s="34"/>
      <x:c r="J137" s="8"/>
      <x:c r="K137" s="8"/>
    </x:row>
    <x:row r="138">
      <x:c r="A138" s="8"/>
      <x:c r="B138" s="8"/>
      <x:c r="C138" s="8"/>
      <x:c r="D138" s="8"/>
      <x:c r="E138" s="34"/>
      <x:c r="F138" s="34"/>
      <x:c r="G138" s="34"/>
      <x:c r="H138" s="34"/>
      <x:c r="I138" s="34"/>
      <x:c r="J138" s="8"/>
      <x:c r="K138" s="8"/>
    </x:row>
    <x:row r="139">
      <x:c r="A139" s="8"/>
      <x:c r="B139" s="8"/>
      <x:c r="C139" s="8"/>
      <x:c r="D139" s="8"/>
      <x:c r="E139" s="34"/>
      <x:c r="F139" s="34"/>
      <x:c r="G139" s="34"/>
      <x:c r="H139" s="34"/>
      <x:c r="I139" s="34"/>
      <x:c r="J139" s="8"/>
      <x:c r="K139" s="8"/>
    </x:row>
    <x:row r="140">
      <x:c r="A140" s="8"/>
      <x:c r="B140" s="8"/>
      <x:c r="C140" s="8"/>
      <x:c r="D140" s="8"/>
      <x:c r="E140" s="34"/>
      <x:c r="F140" s="34"/>
      <x:c r="G140" s="34"/>
      <x:c r="H140" s="34"/>
      <x:c r="I140" s="34"/>
      <x:c r="J140" s="8"/>
      <x:c r="K140" s="8"/>
    </x:row>
    <x:row r="141">
      <x:c r="A141" s="8"/>
      <x:c r="B141" s="8"/>
      <x:c r="C141" s="8"/>
      <x:c r="D141" s="8"/>
      <x:c r="E141" s="34"/>
      <x:c r="F141" s="34"/>
      <x:c r="G141" s="34"/>
      <x:c r="H141" s="34"/>
      <x:c r="I141" s="34"/>
      <x:c r="J141" s="8"/>
      <x:c r="K141" s="8"/>
    </x:row>
    <x:row r="142">
      <x:c r="A142" s="8"/>
      <x:c r="B142" s="8"/>
      <x:c r="C142" s="8"/>
      <x:c r="D142" s="8"/>
      <x:c r="E142" s="34"/>
      <x:c r="F142" s="34"/>
      <x:c r="G142" s="34"/>
      <x:c r="H142" s="34"/>
      <x:c r="I142" s="34"/>
      <x:c r="J142" s="8"/>
      <x:c r="K142" s="8"/>
    </x:row>
    <x:row r="143">
      <x:c r="A143" s="8"/>
      <x:c r="B143" s="8"/>
      <x:c r="C143" s="8"/>
      <x:c r="D143" s="8"/>
      <x:c r="E143" s="34"/>
      <x:c r="F143" s="34"/>
      <x:c r="G143" s="34"/>
      <x:c r="H143" s="34"/>
      <x:c r="I143" s="34"/>
      <x:c r="J143" s="8"/>
      <x:c r="K143" s="8"/>
    </x:row>
    <x:row r="144">
      <x:c r="A144" s="8"/>
      <x:c r="B144" s="8"/>
      <x:c r="C144" s="8"/>
      <x:c r="D144" s="8"/>
      <x:c r="E144" s="34"/>
      <x:c r="F144" s="34"/>
      <x:c r="G144" s="34"/>
      <x:c r="H144" s="34"/>
      <x:c r="I144" s="34"/>
      <x:c r="J144" s="8"/>
      <x:c r="K144" s="8"/>
    </x:row>
    <x:row r="145">
      <x:c r="A145" s="8"/>
      <x:c r="B145" s="8"/>
      <x:c r="C145" s="8"/>
      <x:c r="D145" s="8"/>
      <x:c r="E145" s="34"/>
      <x:c r="F145" s="34"/>
      <x:c r="G145" s="34"/>
      <x:c r="H145" s="34"/>
      <x:c r="I145" s="34"/>
      <x:c r="J145" s="8"/>
      <x:c r="K145" s="8"/>
    </x:row>
    <x:row r="146">
      <x:c r="A146" s="8"/>
      <x:c r="B146" s="8"/>
      <x:c r="C146" s="8"/>
      <x:c r="D146" s="8"/>
      <x:c r="E146" s="34"/>
      <x:c r="F146" s="34"/>
      <x:c r="G146" s="34"/>
      <x:c r="H146" s="34"/>
      <x:c r="I146" s="34"/>
      <x:c r="J146" s="8"/>
      <x:c r="K146" s="8"/>
    </x:row>
    <x:row r="147">
      <x:c r="A147" s="8"/>
      <x:c r="B147" s="8"/>
      <x:c r="C147" s="8"/>
      <x:c r="D147" s="8"/>
      <x:c r="E147" s="34"/>
      <x:c r="F147" s="34"/>
      <x:c r="G147" s="34"/>
      <x:c r="H147" s="34"/>
      <x:c r="I147" s="34"/>
      <x:c r="J147" s="8"/>
      <x:c r="K147" s="8"/>
    </x:row>
    <x:row r="148">
      <x:c r="A148" s="8"/>
      <x:c r="B148" s="8"/>
      <x:c r="C148" s="8"/>
      <x:c r="D148" s="8"/>
      <x:c r="E148" s="34"/>
      <x:c r="F148" s="34"/>
      <x:c r="G148" s="34"/>
      <x:c r="H148" s="34"/>
      <x:c r="I148" s="34"/>
      <x:c r="J148" s="8"/>
      <x:c r="K148" s="8"/>
    </x:row>
    <x:row r="149">
      <x:c r="A149" s="8"/>
      <x:c r="B149" s="8"/>
      <x:c r="C149" s="8"/>
      <x:c r="D149" s="8"/>
      <x:c r="E149" s="34"/>
      <x:c r="F149" s="34"/>
      <x:c r="G149" s="34"/>
      <x:c r="H149" s="34"/>
      <x:c r="I149" s="34"/>
      <x:c r="J149" s="8"/>
      <x:c r="K149" s="8"/>
    </x:row>
    <x:row r="150">
      <x:c r="A150" s="8"/>
      <x:c r="B150" s="8"/>
      <x:c r="C150" s="8"/>
      <x:c r="D150" s="8"/>
      <x:c r="E150" s="34"/>
      <x:c r="F150" s="34"/>
      <x:c r="G150" s="34"/>
      <x:c r="H150" s="34"/>
      <x:c r="I150" s="34"/>
      <x:c r="J150" s="8"/>
      <x:c r="K150" s="8"/>
    </x:row>
    <x:row r="151">
      <x:c r="A151" s="8"/>
      <x:c r="B151" s="8"/>
      <x:c r="C151" s="8"/>
      <x:c r="D151" s="8"/>
      <x:c r="E151" s="34"/>
      <x:c r="F151" s="34"/>
      <x:c r="G151" s="34"/>
      <x:c r="H151" s="34"/>
      <x:c r="I151" s="34"/>
      <x:c r="J151" s="8"/>
      <x:c r="K151" s="8"/>
    </x:row>
    <x:row r="152">
      <x:c r="A152" s="8"/>
      <x:c r="B152" s="8"/>
      <x:c r="C152" s="8"/>
      <x:c r="D152" s="8"/>
      <x:c r="E152" s="34"/>
      <x:c r="F152" s="34"/>
      <x:c r="G152" s="34"/>
      <x:c r="H152" s="34"/>
      <x:c r="I152" s="34"/>
      <x:c r="J152" s="8"/>
      <x:c r="K152" s="8"/>
    </x:row>
    <x:row r="153">
      <x:c r="A153" s="8"/>
      <x:c r="B153" s="8"/>
      <x:c r="C153" s="8"/>
      <x:c r="D153" s="8"/>
      <x:c r="E153" s="34"/>
      <x:c r="F153" s="34"/>
      <x:c r="G153" s="34"/>
      <x:c r="H153" s="34"/>
      <x:c r="I153" s="34"/>
      <x:c r="J153" s="8"/>
      <x:c r="K153" s="8"/>
    </x:row>
    <x:row r="154">
      <x:c r="A154" s="8"/>
      <x:c r="B154" s="8"/>
      <x:c r="C154" s="8"/>
      <x:c r="D154" s="8"/>
      <x:c r="E154" s="34"/>
      <x:c r="F154" s="34"/>
      <x:c r="G154" s="34"/>
      <x:c r="H154" s="34"/>
      <x:c r="I154" s="34"/>
      <x:c r="J154" s="8"/>
      <x:c r="K154" s="8"/>
    </x:row>
    <x:row r="155">
      <x:c r="A155" s="8"/>
      <x:c r="B155" s="8"/>
      <x:c r="C155" s="8"/>
      <x:c r="D155" s="8"/>
      <x:c r="E155" s="34"/>
      <x:c r="F155" s="34"/>
      <x:c r="G155" s="34"/>
      <x:c r="H155" s="34"/>
      <x:c r="I155" s="34"/>
      <x:c r="J155" s="8"/>
      <x:c r="K155" s="8"/>
    </x:row>
    <x:row r="156">
      <x:c r="A156" s="8"/>
      <x:c r="B156" s="8"/>
      <x:c r="C156" s="8"/>
      <x:c r="D156" s="8"/>
      <x:c r="E156" s="34"/>
      <x:c r="F156" s="34"/>
      <x:c r="G156" s="34"/>
      <x:c r="H156" s="34"/>
      <x:c r="I156" s="34"/>
      <x:c r="J156" s="8"/>
      <x:c r="K156" s="8"/>
    </x:row>
    <x:row r="157">
      <x:c r="A157" s="8"/>
      <x:c r="B157" s="8"/>
      <x:c r="C157" s="8"/>
      <x:c r="D157" s="8"/>
      <x:c r="E157" s="34"/>
      <x:c r="F157" s="34"/>
      <x:c r="G157" s="34"/>
      <x:c r="H157" s="34"/>
      <x:c r="I157" s="34"/>
      <x:c r="J157" s="8"/>
      <x:c r="K157" s="8"/>
    </x:row>
    <x:row r="158">
      <x:c r="A158" s="8"/>
      <x:c r="B158" s="8"/>
      <x:c r="C158" s="8"/>
      <x:c r="D158" s="8"/>
      <x:c r="E158" s="34"/>
      <x:c r="F158" s="34"/>
      <x:c r="G158" s="34"/>
      <x:c r="H158" s="34"/>
      <x:c r="I158" s="34"/>
      <x:c r="J158" s="8"/>
      <x:c r="K158" s="8"/>
    </x:row>
    <x:row r="159">
      <x:c r="A159" s="8"/>
      <x:c r="B159" s="8"/>
      <x:c r="C159" s="8"/>
      <x:c r="D159" s="8"/>
      <x:c r="E159" s="34"/>
      <x:c r="F159" s="34"/>
      <x:c r="G159" s="34"/>
      <x:c r="H159" s="34"/>
      <x:c r="I159" s="34"/>
      <x:c r="J159" s="8"/>
      <x:c r="K159" s="8"/>
    </x:row>
    <x:row r="160">
      <x:c r="A160" s="8"/>
      <x:c r="B160" s="8"/>
      <x:c r="C160" s="8"/>
      <x:c r="D160" s="8"/>
      <x:c r="E160" s="34"/>
      <x:c r="F160" s="34"/>
      <x:c r="G160" s="34"/>
      <x:c r="H160" s="34"/>
      <x:c r="I160" s="34"/>
      <x:c r="J160" s="8"/>
      <x:c r="K160" s="8"/>
    </x:row>
    <x:row r="161">
      <x:c r="A161" s="8"/>
      <x:c r="B161" s="8"/>
      <x:c r="C161" s="8"/>
      <x:c r="D161" s="8"/>
      <x:c r="E161" s="34"/>
      <x:c r="F161" s="34"/>
      <x:c r="G161" s="34"/>
      <x:c r="H161" s="34"/>
      <x:c r="I161" s="34"/>
      <x:c r="J161" s="8"/>
      <x:c r="K161" s="8"/>
    </x:row>
    <x:row r="162">
      <x:c r="A162" s="8"/>
      <x:c r="B162" s="8"/>
      <x:c r="C162" s="8"/>
      <x:c r="D162" s="8"/>
      <x:c r="E162" s="34"/>
      <x:c r="F162" s="34"/>
      <x:c r="G162" s="34"/>
      <x:c r="H162" s="34"/>
      <x:c r="I162" s="34"/>
      <x:c r="J162" s="8"/>
      <x:c r="K162" s="8"/>
    </x:row>
    <x:row r="163">
      <x:c r="A163" s="8"/>
      <x:c r="B163" s="8"/>
      <x:c r="C163" s="8"/>
      <x:c r="D163" s="8"/>
      <x:c r="E163" s="34"/>
      <x:c r="F163" s="34"/>
      <x:c r="G163" s="34"/>
      <x:c r="H163" s="34"/>
      <x:c r="I163" s="34"/>
      <x:c r="J163" s="8"/>
      <x:c r="K163" s="8"/>
    </x:row>
    <x:row r="164">
      <x:c r="A164" s="8"/>
      <x:c r="B164" s="8"/>
      <x:c r="C164" s="8"/>
      <x:c r="D164" s="8"/>
      <x:c r="E164" s="34"/>
      <x:c r="F164" s="34"/>
      <x:c r="G164" s="34"/>
      <x:c r="H164" s="34"/>
      <x:c r="I164" s="34"/>
      <x:c r="J164" s="8"/>
      <x:c r="K164" s="8"/>
    </x:row>
    <x:row r="165">
      <x:c r="A165" s="8"/>
      <x:c r="B165" s="8"/>
      <x:c r="C165" s="8"/>
      <x:c r="D165" s="8"/>
      <x:c r="E165" s="34"/>
      <x:c r="F165" s="34"/>
      <x:c r="G165" s="34"/>
      <x:c r="H165" s="34"/>
      <x:c r="I165" s="34"/>
      <x:c r="J165" s="8"/>
      <x:c r="K165" s="8"/>
    </x:row>
    <x:row r="166">
      <x:c r="A166" s="8"/>
      <x:c r="B166" s="8"/>
      <x:c r="C166" s="8"/>
      <x:c r="D166" s="8"/>
      <x:c r="E166" s="34"/>
      <x:c r="F166" s="34"/>
      <x:c r="G166" s="34"/>
      <x:c r="H166" s="34"/>
      <x:c r="I166" s="34"/>
      <x:c r="J166" s="8"/>
      <x:c r="K166" s="8"/>
    </x:row>
    <x:row r="167">
      <x:c r="A167" s="8"/>
      <x:c r="B167" s="8"/>
      <x:c r="C167" s="8"/>
      <x:c r="D167" s="8"/>
      <x:c r="E167" s="34"/>
      <x:c r="F167" s="34"/>
      <x:c r="G167" s="34"/>
      <x:c r="H167" s="34"/>
      <x:c r="I167" s="34"/>
      <x:c r="J167" s="8"/>
      <x:c r="K167" s="8"/>
    </x:row>
    <x:row r="168">
      <x:c r="A168" s="8"/>
      <x:c r="B168" s="8"/>
      <x:c r="C168" s="8"/>
      <x:c r="D168" s="8"/>
      <x:c r="E168" s="34"/>
      <x:c r="F168" s="34"/>
      <x:c r="G168" s="34"/>
      <x:c r="H168" s="34"/>
      <x:c r="I168" s="34"/>
      <x:c r="J168" s="8"/>
      <x:c r="K168" s="8"/>
    </x:row>
    <x:row r="169">
      <x:c r="A169" s="8"/>
      <x:c r="B169" s="8"/>
      <x:c r="C169" s="8"/>
      <x:c r="D169" s="8"/>
      <x:c r="E169" s="34"/>
      <x:c r="F169" s="34"/>
      <x:c r="G169" s="34"/>
      <x:c r="H169" s="34"/>
      <x:c r="I169" s="34"/>
      <x:c r="J169" s="8"/>
      <x:c r="K169" s="8"/>
    </x:row>
    <x:row r="170">
      <x:c r="A170" s="8"/>
      <x:c r="B170" s="8"/>
      <x:c r="C170" s="8"/>
      <x:c r="D170" s="8"/>
      <x:c r="E170" s="34"/>
      <x:c r="F170" s="34"/>
      <x:c r="G170" s="34"/>
      <x:c r="H170" s="34"/>
      <x:c r="I170" s="34"/>
      <x:c r="J170" s="8"/>
      <x:c r="K170" s="8"/>
    </x:row>
    <x:row r="171">
      <x:c r="A171" s="8"/>
      <x:c r="B171" s="8"/>
      <x:c r="C171" s="8"/>
      <x:c r="D171" s="8"/>
      <x:c r="E171" s="34"/>
      <x:c r="F171" s="34"/>
      <x:c r="G171" s="34"/>
      <x:c r="H171" s="34"/>
      <x:c r="I171" s="34"/>
      <x:c r="J171" s="8"/>
      <x:c r="K171" s="8"/>
    </x:row>
    <x:row r="172">
      <x:c r="A172" s="8"/>
      <x:c r="B172" s="8"/>
      <x:c r="C172" s="8"/>
      <x:c r="D172" s="8"/>
      <x:c r="E172" s="34"/>
      <x:c r="F172" s="34"/>
      <x:c r="G172" s="34"/>
      <x:c r="H172" s="34"/>
      <x:c r="I172" s="34"/>
      <x:c r="J172" s="8"/>
      <x:c r="K172" s="8"/>
    </x:row>
    <x:row r="173">
      <x:c r="A173" s="8"/>
      <x:c r="B173" s="8"/>
      <x:c r="C173" s="8"/>
      <x:c r="D173" s="8"/>
      <x:c r="E173" s="34"/>
      <x:c r="F173" s="34"/>
      <x:c r="G173" s="34"/>
      <x:c r="H173" s="34"/>
      <x:c r="I173" s="34"/>
      <x:c r="J173" s="8"/>
      <x:c r="K173" s="8"/>
    </x:row>
    <x:row r="174">
      <x:c r="A174" s="8"/>
      <x:c r="B174" s="8"/>
      <x:c r="C174" s="8"/>
      <x:c r="D174" s="8"/>
      <x:c r="E174" s="34"/>
      <x:c r="F174" s="34"/>
      <x:c r="G174" s="34"/>
      <x:c r="H174" s="34"/>
      <x:c r="I174" s="34"/>
      <x:c r="J174" s="8"/>
      <x:c r="K174" s="8"/>
    </x:row>
    <x:row r="175">
      <x:c r="A175" s="8"/>
      <x:c r="B175" s="8"/>
      <x:c r="C175" s="8"/>
      <x:c r="D175" s="8"/>
      <x:c r="E175" s="34"/>
      <x:c r="F175" s="34"/>
      <x:c r="G175" s="34"/>
      <x:c r="H175" s="34"/>
      <x:c r="I175" s="34"/>
      <x:c r="J175" s="8"/>
      <x:c r="K175" s="8"/>
    </x:row>
    <x:row r="176">
      <x:c r="A176" s="8"/>
      <x:c r="B176" s="8"/>
      <x:c r="C176" s="8"/>
      <x:c r="D176" s="8"/>
      <x:c r="E176" s="34"/>
      <x:c r="F176" s="34"/>
      <x:c r="G176" s="34"/>
      <x:c r="H176" s="34"/>
      <x:c r="I176" s="34"/>
      <x:c r="J176" s="8"/>
      <x:c r="K176" s="8"/>
    </x:row>
    <x:row r="177">
      <x:c r="A177" s="8"/>
      <x:c r="B177" s="8"/>
      <x:c r="C177" s="8"/>
      <x:c r="D177" s="8"/>
      <x:c r="E177" s="34"/>
      <x:c r="F177" s="34"/>
      <x:c r="G177" s="34"/>
      <x:c r="H177" s="34"/>
      <x:c r="I177" s="34"/>
      <x:c r="J177" s="8"/>
      <x:c r="K177" s="8"/>
    </x:row>
    <x:row r="178">
      <x:c r="A178" s="8"/>
      <x:c r="B178" s="8"/>
      <x:c r="C178" s="8"/>
      <x:c r="D178" s="8"/>
      <x:c r="E178" s="34"/>
      <x:c r="F178" s="34"/>
      <x:c r="G178" s="34"/>
      <x:c r="H178" s="34"/>
      <x:c r="I178" s="34"/>
      <x:c r="J178" s="8"/>
      <x:c r="K178" s="8"/>
    </x:row>
    <x:row r="179">
      <x:c r="A179" s="8"/>
      <x:c r="B179" s="8"/>
      <x:c r="C179" s="8"/>
      <x:c r="D179" s="8"/>
      <x:c r="E179" s="34"/>
      <x:c r="F179" s="34"/>
      <x:c r="G179" s="34"/>
      <x:c r="H179" s="34"/>
      <x:c r="I179" s="34"/>
      <x:c r="J179" s="8"/>
      <x:c r="K179" s="8"/>
    </x:row>
    <x:row r="180">
      <x:c r="A180" s="8"/>
      <x:c r="B180" s="8"/>
      <x:c r="C180" s="8"/>
      <x:c r="D180" s="8"/>
      <x:c r="E180" s="34"/>
      <x:c r="F180" s="34"/>
      <x:c r="G180" s="34"/>
      <x:c r="H180" s="34"/>
      <x:c r="I180" s="34"/>
      <x:c r="J180" s="8"/>
      <x:c r="K180" s="8"/>
    </x:row>
    <x:row r="181">
      <x:c r="A181" s="8"/>
      <x:c r="B181" s="8"/>
      <x:c r="C181" s="8"/>
      <x:c r="D181" s="8"/>
      <x:c r="E181" s="34"/>
      <x:c r="F181" s="34"/>
      <x:c r="G181" s="34"/>
      <x:c r="H181" s="34"/>
      <x:c r="I181" s="34"/>
      <x:c r="J181" s="8"/>
      <x:c r="K181" s="8"/>
    </x:row>
    <x:row r="182">
      <x:c r="A182" s="8"/>
      <x:c r="B182" s="8"/>
      <x:c r="C182" s="8"/>
      <x:c r="D182" s="8"/>
      <x:c r="E182" s="34"/>
      <x:c r="F182" s="34"/>
      <x:c r="G182" s="34"/>
      <x:c r="H182" s="34"/>
      <x:c r="I182" s="34"/>
      <x:c r="J182" s="8"/>
      <x:c r="K182" s="8"/>
    </x:row>
    <x:row r="183">
      <x:c r="A183" s="8"/>
      <x:c r="B183" s="8"/>
      <x:c r="C183" s="8"/>
      <x:c r="D183" s="8"/>
      <x:c r="E183" s="34"/>
      <x:c r="F183" s="34"/>
      <x:c r="G183" s="34"/>
      <x:c r="H183" s="34"/>
      <x:c r="I183" s="34"/>
      <x:c r="J183" s="8"/>
      <x:c r="K183" s="8"/>
    </x:row>
    <x:row r="184">
      <x:c r="A184" s="8"/>
      <x:c r="B184" s="8"/>
      <x:c r="C184" s="8"/>
      <x:c r="D184" s="8"/>
      <x:c r="E184" s="34"/>
      <x:c r="F184" s="34"/>
      <x:c r="G184" s="34"/>
      <x:c r="H184" s="34"/>
      <x:c r="I184" s="34"/>
      <x:c r="J184" s="8"/>
      <x:c r="K184" s="8"/>
    </x:row>
    <x:row r="185">
      <x:c r="A185" s="8"/>
      <x:c r="B185" s="8"/>
      <x:c r="C185" s="8"/>
      <x:c r="D185" s="8"/>
      <x:c r="E185" s="34"/>
      <x:c r="F185" s="34"/>
      <x:c r="G185" s="34"/>
      <x:c r="H185" s="34"/>
      <x:c r="I185" s="34"/>
      <x:c r="J185" s="8"/>
      <x:c r="K185" s="8"/>
    </x:row>
    <x:row r="186">
      <x:c r="A186" s="8"/>
      <x:c r="B186" s="8"/>
      <x:c r="C186" s="8"/>
      <x:c r="D186" s="8"/>
      <x:c r="E186" s="34"/>
      <x:c r="F186" s="34"/>
      <x:c r="G186" s="34"/>
      <x:c r="H186" s="34"/>
      <x:c r="I186" s="34"/>
      <x:c r="J186" s="8"/>
      <x:c r="K186" s="8"/>
    </x:row>
    <x:row r="187">
      <x:c r="A187" s="8"/>
      <x:c r="B187" s="8"/>
      <x:c r="C187" s="8"/>
      <x:c r="D187" s="8"/>
      <x:c r="E187" s="34"/>
      <x:c r="F187" s="34"/>
      <x:c r="G187" s="34"/>
      <x:c r="H187" s="34"/>
      <x:c r="I187" s="34"/>
      <x:c r="J187" s="8"/>
      <x:c r="K187" s="8"/>
    </x:row>
    <x:row r="188">
      <x:c r="A188" s="8"/>
      <x:c r="B188" s="8"/>
      <x:c r="C188" s="8"/>
      <x:c r="D188" s="8"/>
      <x:c r="E188" s="34"/>
      <x:c r="F188" s="34"/>
      <x:c r="G188" s="34"/>
      <x:c r="H188" s="34"/>
      <x:c r="I188" s="34"/>
      <x:c r="J188" s="8"/>
      <x:c r="K188" s="8"/>
    </x:row>
    <x:row r="189">
      <x:c r="A189" s="8"/>
      <x:c r="B189" s="8"/>
      <x:c r="C189" s="8"/>
      <x:c r="D189" s="8"/>
      <x:c r="E189" s="34"/>
      <x:c r="F189" s="34"/>
      <x:c r="G189" s="34"/>
      <x:c r="H189" s="34"/>
      <x:c r="I189" s="34"/>
      <x:c r="J189" s="8"/>
      <x:c r="K189" s="8"/>
    </x:row>
    <x:row r="190">
      <x:c r="A190" s="8"/>
      <x:c r="B190" s="8"/>
      <x:c r="C190" s="8"/>
      <x:c r="D190" s="8"/>
      <x:c r="E190" s="34"/>
      <x:c r="F190" s="34"/>
      <x:c r="G190" s="34"/>
      <x:c r="H190" s="34"/>
      <x:c r="I190" s="34"/>
      <x:c r="J190" s="8"/>
      <x:c r="K190" s="8"/>
    </x:row>
    <x:row r="191">
      <x:c r="A191" s="8"/>
      <x:c r="B191" s="8"/>
      <x:c r="C191" s="8"/>
      <x:c r="D191" s="8"/>
      <x:c r="E191" s="34"/>
      <x:c r="F191" s="34"/>
      <x:c r="G191" s="34"/>
      <x:c r="H191" s="34"/>
      <x:c r="I191" s="34"/>
      <x:c r="J191" s="8"/>
      <x:c r="K191" s="8"/>
    </x:row>
    <x:row r="192">
      <x:c r="A192" s="8"/>
      <x:c r="B192" s="8"/>
      <x:c r="C192" s="8"/>
      <x:c r="D192" s="8"/>
      <x:c r="E192" s="34"/>
      <x:c r="F192" s="34"/>
      <x:c r="G192" s="34"/>
      <x:c r="H192" s="34"/>
      <x:c r="I192" s="34"/>
      <x:c r="J192" s="8"/>
      <x:c r="K192" s="8"/>
    </x:row>
    <x:row r="193">
      <x:c r="A193" s="8"/>
      <x:c r="B193" s="8"/>
      <x:c r="C193" s="8"/>
      <x:c r="D193" s="8"/>
      <x:c r="E193" s="34"/>
      <x:c r="F193" s="34"/>
      <x:c r="G193" s="34"/>
      <x:c r="H193" s="34"/>
      <x:c r="I193" s="34"/>
      <x:c r="J193" s="8"/>
      <x:c r="K193" s="8"/>
    </x:row>
    <x:row r="194">
      <x:c r="A194" s="8"/>
      <x:c r="B194" s="8"/>
      <x:c r="C194" s="8"/>
      <x:c r="D194" s="8"/>
      <x:c r="E194" s="34"/>
      <x:c r="F194" s="34"/>
      <x:c r="G194" s="34"/>
      <x:c r="H194" s="34"/>
      <x:c r="I194" s="34"/>
      <x:c r="J194" s="8"/>
      <x:c r="K194" s="8"/>
    </x:row>
    <x:row r="195">
      <x:c r="A195" s="8"/>
      <x:c r="B195" s="8"/>
      <x:c r="C195" s="8"/>
      <x:c r="D195" s="8"/>
      <x:c r="E195" s="34"/>
      <x:c r="F195" s="34"/>
      <x:c r="G195" s="34"/>
      <x:c r="H195" s="34"/>
      <x:c r="I195" s="34"/>
      <x:c r="J195" s="8"/>
      <x:c r="K195" s="8"/>
    </x:row>
    <x:row r="196">
      <x:c r="A196" s="8"/>
      <x:c r="B196" s="8"/>
      <x:c r="C196" s="8"/>
      <x:c r="D196" s="8"/>
      <x:c r="E196" s="34"/>
      <x:c r="F196" s="34"/>
      <x:c r="G196" s="34"/>
      <x:c r="H196" s="34"/>
      <x:c r="I196" s="34"/>
      <x:c r="J196" s="8"/>
      <x:c r="K196" s="8"/>
    </x:row>
    <x:row r="197">
      <x:c r="A197" s="8"/>
      <x:c r="B197" s="8"/>
      <x:c r="C197" s="8"/>
      <x:c r="D197" s="8"/>
      <x:c r="E197" s="34"/>
      <x:c r="F197" s="34"/>
      <x:c r="G197" s="34"/>
      <x:c r="H197" s="34"/>
      <x:c r="I197" s="34"/>
      <x:c r="J197" s="8"/>
      <x:c r="K197" s="8"/>
    </x:row>
    <x:row r="198">
      <x:c r="A198" s="8"/>
      <x:c r="B198" s="8"/>
      <x:c r="C198" s="8"/>
      <x:c r="D198" s="8"/>
      <x:c r="E198" s="34"/>
      <x:c r="F198" s="34"/>
      <x:c r="G198" s="34"/>
      <x:c r="H198" s="34"/>
      <x:c r="I198" s="34"/>
      <x:c r="J198" s="8"/>
      <x:c r="K198" s="8"/>
    </x:row>
    <x:row r="199">
      <x:c r="A199" s="8"/>
      <x:c r="B199" s="8"/>
      <x:c r="C199" s="8"/>
      <x:c r="D199" s="8"/>
      <x:c r="E199" s="34"/>
      <x:c r="F199" s="34"/>
      <x:c r="G199" s="34"/>
      <x:c r="H199" s="34"/>
      <x:c r="I199" s="34"/>
      <x:c r="J199" s="8"/>
      <x:c r="K199" s="8"/>
    </x:row>
    <x:row r="200">
      <x:c r="A200" s="8"/>
      <x:c r="B200" s="8"/>
      <x:c r="C200" s="8"/>
      <x:c r="D200" s="8"/>
      <x:c r="E200" s="34"/>
      <x:c r="F200" s="34"/>
      <x:c r="G200" s="34"/>
      <x:c r="H200" s="34"/>
      <x:c r="I200" s="34"/>
      <x:c r="J200" s="8"/>
      <x:c r="K200" s="8"/>
    </x:row>
  </x:sheetData>
  <x:pageMargins left="0.7" right="0.7" top="0.75" bottom="0.75" header="0.3" footer="0.3"/>
  <x:tableParts count="1">
    <x:tablePart xmlns:r="http://schemas.openxmlformats.org/officeDocument/2006/relationships" r:id="Rc0fffe1a47d74b8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32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 s="4" t="str">
        <x:v>BetterBit 原形食物乾餐營養計算器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/>
      <x:c r="M1" s="4"/>
      <x:c r="N1" s="4"/>
      <x:c r="O1" s="4"/>
      <x:c r="P1" s="4"/>
    </x:row>
    <x:row r="2">
      <x:c r="A2" s="8" t="str">
        <x:v>使用方式</x:v>
      </x:c>
      <x:c r="B2" s="8" t="str">
        <x:v>在 B8:B27 選食材，C 欄輸入重量。B3-B6 設定整餐烹調/油/醬。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3">
      <x:c r="A3" s="8" t="str">
        <x:v>烹調方式</x:v>
      </x:c>
      <x:c r="B3" s="8" t="str">
        <x:v>炒</x:v>
      </x:c>
      <x:c r="C3" s="8"/>
      <x:c r="D3" s="8" t="str">
        <x:v>自動油量 g</x:v>
      </x:c>
      <x:c r="E3" s="34" t="n">
        <x:f>IFERROR(VLOOKUP($B$3&amp;"|"&amp;$B$4,Oil_Rules!$A:$D,4,FALSE),0)</x:f>
        <x:v>10</x:v>
      </x:c>
      <x:c r="F3" s="8"/>
      <x:c r="G3" s="8" t="str">
        <x:v>基礎總計</x:v>
      </x:c>
      <x:c r="H3" s="8"/>
      <x:c r="I3" s="8"/>
      <x:c r="J3" s="8"/>
      <x:c r="K3" s="8"/>
      <x:c r="L3" s="8"/>
      <x:c r="M3" s="8"/>
      <x:c r="N3" s="8"/>
      <x:c r="O3" s="8"/>
      <x:c r="P3" s="8"/>
    </x:row>
    <x:row r="4">
      <x:c r="A4" s="8" t="str">
        <x:v>油量等級</x:v>
      </x:c>
      <x:c r="B4" s="8" t="str">
        <x:v>一般</x:v>
      </x:c>
      <x:c r="C4" s="8"/>
      <x:c r="D4" s="8" t="str">
        <x:v>自訂油量 g（可空白）</x:v>
      </x:c>
      <x:c r="E4" s="34"/>
      <x:c r="F4" s="8"/>
      <x:c r="G4" s="8" t="str">
        <x:v>油脂加成</x:v>
      </x:c>
      <x:c r="H4" s="8"/>
      <x:c r="I4" s="8"/>
      <x:c r="J4" s="8"/>
      <x:c r="K4" s="8"/>
      <x:c r="L4" s="8"/>
      <x:c r="M4" s="8"/>
      <x:c r="N4" s="8"/>
      <x:c r="O4" s="8"/>
      <x:c r="P4" s="8"/>
    </x:row>
    <x:row r="5">
      <x:c r="A5" s="8" t="str">
        <x:v>醬汁量</x:v>
      </x:c>
      <x:c r="B5" s="8" t="str">
        <x:v>正常</x:v>
      </x:c>
      <x:c r="C5" s="8"/>
      <x:c r="D5" s="8" t="str">
        <x:v>實際採用油量 g</x:v>
      </x:c>
      <x:c r="E5" s="34" t="n">
        <x:f>IF($E$4&lt;&gt;"",$E$4,$E$3)</x:f>
        <x:v>10</x:v>
      </x:c>
      <x:c r="F5" s="8"/>
      <x:c r="G5" s="8" t="str">
        <x:v>醬汁加成</x:v>
      </x:c>
      <x:c r="H5" s="8"/>
      <x:c r="I5" s="8"/>
      <x:c r="J5" s="8"/>
      <x:c r="K5" s="8"/>
      <x:c r="L5" s="8"/>
      <x:c r="M5" s="8"/>
      <x:c r="N5" s="8"/>
      <x:c r="O5" s="8"/>
      <x:c r="P5" s="8"/>
    </x:row>
    <x:row r="6">
      <x:c r="A6" s="8" t="str">
        <x:v>注意</x:v>
      </x:c>
      <x:c r="B6" s="8" t="str">
        <x:v>油與醬以整餐加一次；若多道菜請只在總餐設定，不要每個食材重複加。</x:v>
      </x:c>
      <x:c r="C6" s="8"/>
      <x:c r="D6" s="8" t="str">
        <x:v>油 kcal</x:v>
      </x:c>
      <x:c r="E6" s="34" t="n">
        <x:f>$E$5*9</x:f>
        <x:v>90</x:v>
      </x:c>
      <x:c r="F6" s="8"/>
      <x:c r="G6" s="8" t="str">
        <x:v>最終合計</x:v>
      </x:c>
      <x:c r="H6" s="8"/>
      <x:c r="I6" s="8"/>
      <x:c r="J6" s="8"/>
      <x:c r="K6" s="8"/>
      <x:c r="L6" s="8"/>
      <x:c r="M6" s="8"/>
      <x:c r="N6" s="8"/>
      <x:c r="O6" s="8"/>
      <x:c r="P6" s="8"/>
    </x:row>
    <x:row r="8">
      <x:c r="A8" s="14" t="str">
        <x:v>food_name</x:v>
      </x:c>
      <x:c r="B8" s="14" t="str">
        <x:v>weight_g</x:v>
      </x:c>
      <x:c r="C8" s="14" t="str">
        <x:v>state</x:v>
      </x:c>
      <x:c r="D8" s="14" t="str">
        <x:v>kcal</x:v>
      </x:c>
      <x:c r="E8" s="14" t="str">
        <x:v>protein_g</x:v>
      </x:c>
      <x:c r="F8" s="14" t="str">
        <x:v>fat_g</x:v>
      </x:c>
      <x:c r="G8" s="14" t="str">
        <x:v>carb_g</x:v>
      </x:c>
      <x:c r="H8" s="14" t="str">
        <x:v>sodium_mg</x:v>
      </x:c>
      <x:c r="I8" s="14" t="str">
        <x:v>source_note</x:v>
      </x:c>
      <x:c r="K8" s="24" t="str">
        <x:v>項目</x:v>
      </x:c>
      <x:c r="L8" s="24" t="str">
        <x:v>kcal</x:v>
      </x:c>
      <x:c r="M8" s="24" t="str">
        <x:v>protein_g</x:v>
      </x:c>
      <x:c r="N8" s="24" t="str">
        <x:v>fat_g</x:v>
      </x:c>
      <x:c r="O8" s="24" t="str">
        <x:v>carb_g</x:v>
      </x:c>
      <x:c r="P8" s="24" t="str">
        <x:v>sodium_mg</x:v>
      </x:c>
    </x:row>
    <x:row r="9">
      <x:c r="A9" s="8" t="str">
        <x:v>白飯（熟）</x:v>
      </x:c>
      <x:c r="B9" s="8" t="n">
        <x:v>150</x:v>
      </x:c>
      <x:c r="C9" s="8" t="str">
        <x:f>IFERROR(VLOOKUP($A9,IngredientDB!$C:$K,2,FALSE),"")</x:f>
        <x:v>熟/可食部</x:v>
      </x:c>
      <x:c r="D9" s="34" t="n">
        <x:f>IFERROR($B9/100*VLOOKUP($A9,IngredientDB!$C:$I,3,FALSE),0)</x:f>
        <x:v>195</x:v>
      </x:c>
      <x:c r="E9" s="34" t="n">
        <x:f>IFERROR($B9/100*VLOOKUP($A9,IngredientDB!$C:$I,4,FALSE),0)</x:f>
        <x:v>3.5999999999999996</x:v>
      </x:c>
      <x:c r="F9" s="34" t="n">
        <x:f>IFERROR($B9/100*VLOOKUP($A9,IngredientDB!$C:$I,5,FALSE),0)</x:f>
        <x:v>0.44999999999999996</x:v>
      </x:c>
      <x:c r="G9" s="34" t="n">
        <x:f>IFERROR($B9/100*VLOOKUP($A9,IngredientDB!$C:$I,6,FALSE),0)</x:f>
        <x:v>42.3</x:v>
      </x:c>
      <x:c r="H9" s="34" t="n">
        <x:f>IFERROR($B9/100*VLOOKUP($A9,IngredientDB!$C:$I,7,FALSE),0)</x:f>
        <x:v>1.5</x:v>
      </x:c>
      <x:c r="I9" s="8" t="str">
        <x:f>IFERROR(VLOOKUP($A9,IngredientDB!$C:$K,9,FALSE),"")</x:f>
        <x:v>白飯水分差異大，便當飯可用此值</x:v>
      </x:c>
      <x:c r="K9" t="str">
        <x:v>基礎食材</x:v>
      </x:c>
      <x:c r="L9" s="36" t="n">
        <x:f>SUM(D9:D28)</x:f>
        <x:v>428</x:v>
      </x:c>
      <x:c r="M9" s="36" t="n">
        <x:f>SUM(E9:E28)</x:f>
        <x:v>43.199999999999996</x:v>
      </x:c>
      <x:c r="N9" s="36" t="n">
        <x:f>SUM(F9:F28)</x:f>
        <x:v>5.170000000000001</x:v>
      </x:c>
      <x:c r="O9" s="36" t="n">
        <x:f>SUM(G9:G28)</x:f>
        <x:v>49.5</x:v>
      </x:c>
      <x:c r="P9" s="36" t="n">
        <x:f>SUM(H9:H28)</x:f>
        <x:v>131.3</x:v>
      </x:c>
    </x:row>
    <x:row r="10">
      <x:c r="A10" s="8" t="str">
        <x:v>雞胸肉（熟去皮）</x:v>
      </x:c>
      <x:c r="B10" s="8" t="n">
        <x:v>120</x:v>
      </x:c>
      <x:c r="C10" s="8" t="str">
        <x:f>IFERROR(VLOOKUP($A10,IngredientDB!$C:$K,2,FALSE),"")</x:f>
        <x:v>熟/可食部</x:v>
      </x:c>
      <x:c r="D10" s="34" t="n">
        <x:f>IFERROR($B10/100*VLOOKUP($A10,IngredientDB!$C:$I,3,FALSE),0)</x:f>
        <x:v>198</x:v>
      </x:c>
      <x:c r="E10" s="34" t="n">
        <x:f>IFERROR($B10/100*VLOOKUP($A10,IngredientDB!$C:$I,4,FALSE),0)</x:f>
        <x:v>37.199999999999996</x:v>
      </x:c>
      <x:c r="F10" s="34" t="n">
        <x:f>IFERROR($B10/100*VLOOKUP($A10,IngredientDB!$C:$I,5,FALSE),0)</x:f>
        <x:v>4.32</x:v>
      </x:c>
      <x:c r="G10" s="34" t="n">
        <x:f>IFERROR($B10/100*VLOOKUP($A10,IngredientDB!$C:$I,6,FALSE),0)</x:f>
        <x:v>0</x:v>
      </x:c>
      <x:c r="H10" s="34" t="n">
        <x:f>IFERROR($B10/100*VLOOKUP($A10,IngredientDB!$C:$I,7,FALSE),0)</x:f>
        <x:v>88.8</x:v>
      </x:c>
      <x:c r="I10" s="8" t="str">
        <x:f>IFERROR(VLOOKUP($A10,IngredientDB!$C:$K,9,FALSE),"")</x:f>
        <x:v>健身餐主力，可作預設雞胸</x:v>
      </x:c>
      <x:c r="K10" t="str">
        <x:v>用油加成</x:v>
      </x:c>
      <x:c r="L10" s="36" t="n">
        <x:f>$E$6</x:f>
        <x:v>90</x:v>
      </x:c>
      <x:c r="M10" s="36" t="n">
        <x:f>0</x:f>
        <x:v>0</x:v>
      </x:c>
      <x:c r="N10" s="36" t="n">
        <x:f>$E$5</x:f>
        <x:v>10</x:v>
      </x:c>
      <x:c r="O10" s="36" t="n">
        <x:f>0</x:f>
        <x:v>0</x:v>
      </x:c>
      <x:c r="P10" s="36" t="n">
        <x:f>0</x:f>
        <x:v>0</x:v>
      </x:c>
    </x:row>
    <x:row r="11">
      <x:c r="A11" s="8" t="str">
        <x:v>青花菜（熟）</x:v>
      </x:c>
      <x:c r="B11" s="8" t="n">
        <x:v>100</x:v>
      </x:c>
      <x:c r="C11" s="8" t="str">
        <x:f>IFERROR(VLOOKUP($A11,IngredientDB!$C:$K,2,FALSE),"")</x:f>
        <x:v>熟/可食部</x:v>
      </x:c>
      <x:c r="D11" s="34" t="n">
        <x:f>IFERROR($B11/100*VLOOKUP($A11,IngredientDB!$C:$I,3,FALSE),0)</x:f>
        <x:v>35</x:v>
      </x:c>
      <x:c r="E11" s="34" t="n">
        <x:f>IFERROR($B11/100*VLOOKUP($A11,IngredientDB!$C:$I,4,FALSE),0)</x:f>
        <x:v>2.4</x:v>
      </x:c>
      <x:c r="F11" s="34" t="n">
        <x:f>IFERROR($B11/100*VLOOKUP($A11,IngredientDB!$C:$I,5,FALSE),0)</x:f>
        <x:v>0.4</x:v>
      </x:c>
      <x:c r="G11" s="34" t="n">
        <x:f>IFERROR($B11/100*VLOOKUP($A11,IngredientDB!$C:$I,6,FALSE),0)</x:f>
        <x:v>7.2</x:v>
      </x:c>
      <x:c r="H11" s="34" t="n">
        <x:f>IFERROR($B11/100*VLOOKUP($A11,IngredientDB!$C:$I,7,FALSE),0)</x:f>
        <x:v>41</x:v>
      </x:c>
      <x:c r="I11" s="8" t="str">
        <x:f>IFERROR(VLOOKUP($A11,IngredientDB!$C:$K,9,FALSE),"")</x:f>
      </x:c>
      <x:c r="K11" t="str">
        <x:v>醬汁加成</x:v>
      </x:c>
      <x:c r="L11" s="36" t="n">
        <x:f>IFERROR(VLOOKUP($B$5,Sauce_Rules!$A:$F,2,FALSE),0)</x:f>
        <x:v>40</x:v>
      </x:c>
      <x:c r="M11" s="36" t="n">
        <x:f>IFERROR(VLOOKUP($B$5,Sauce_Rules!$A:$F,3,FALSE),0)</x:f>
        <x:v>1</x:v>
      </x:c>
      <x:c r="N11" s="36" t="n">
        <x:f>IFERROR(VLOOKUP($B$5,Sauce_Rules!$A:$F,4,FALSE),0)</x:f>
        <x:v>0.5</x:v>
      </x:c>
      <x:c r="O11" s="36" t="n">
        <x:f>IFERROR(VLOOKUP($B$5,Sauce_Rules!$A:$F,5,FALSE),0)</x:f>
        <x:v>8</x:v>
      </x:c>
      <x:c r="P11" s="36" t="n">
        <x:f>IFERROR(VLOOKUP($B$5,Sauce_Rules!$A:$F,6,FALSE),0)</x:f>
        <x:v>650</x:v>
      </x:c>
    </x:row>
    <x:row r="12">
      <x:c r="A12" s="8" t="str"/>
      <x:c r="B12" s="8"/>
      <x:c r="C12" s="8" t="str">
        <x:f>IFERROR(VLOOKUP($A12,IngredientDB!$C:$K,2,FALSE),"")</x:f>
      </x:c>
      <x:c r="D12" s="34" t="n">
        <x:f>IFERROR($B12/100*VLOOKUP($A12,IngredientDB!$C:$I,3,FALSE),0)</x:f>
        <x:v>0</x:v>
      </x:c>
      <x:c r="E12" s="34" t="n">
        <x:f>IFERROR($B12/100*VLOOKUP($A12,IngredientDB!$C:$I,4,FALSE),0)</x:f>
        <x:v>0</x:v>
      </x:c>
      <x:c r="F12" s="34" t="n">
        <x:f>IFERROR($B12/100*VLOOKUP($A12,IngredientDB!$C:$I,5,FALSE),0)</x:f>
        <x:v>0</x:v>
      </x:c>
      <x:c r="G12" s="34" t="n">
        <x:f>IFERROR($B12/100*VLOOKUP($A12,IngredientDB!$C:$I,6,FALSE),0)</x:f>
        <x:v>0</x:v>
      </x:c>
      <x:c r="H12" s="34" t="n">
        <x:f>IFERROR($B12/100*VLOOKUP($A12,IngredientDB!$C:$I,7,FALSE),0)</x:f>
        <x:v>0</x:v>
      </x:c>
      <x:c r="I12" s="8" t="str">
        <x:f>IFERROR(VLOOKUP($A12,IngredientDB!$C:$K,9,FALSE),"")</x:f>
      </x:c>
      <x:c r="K12" s="31" t="str">
        <x:v>最終合計</x:v>
      </x:c>
      <x:c r="L12" s="37" t="n">
        <x:f>SUM(L9:L11)</x:f>
        <x:v>558</x:v>
      </x:c>
      <x:c r="M12" s="37" t="n">
        <x:f>SUM(M9:M11)</x:f>
        <x:v>44.199999999999996</x:v>
      </x:c>
      <x:c r="N12" s="37" t="n">
        <x:f>SUM(N9:N11)</x:f>
        <x:v>15.670000000000002</x:v>
      </x:c>
      <x:c r="O12" s="37" t="n">
        <x:f>SUM(O9:O11)</x:f>
        <x:v>57.5</x:v>
      </x:c>
      <x:c r="P12" s="37" t="n">
        <x:f>SUM(P9:P11)</x:f>
        <x:v>781.3</x:v>
      </x:c>
    </x:row>
    <x:row r="13">
      <x:c r="A13" s="8" t="str"/>
      <x:c r="B13" s="8"/>
      <x:c r="C13" s="8" t="str">
        <x:f>IFERROR(VLOOKUP($A13,IngredientDB!$C:$K,2,FALSE),"")</x:f>
      </x:c>
      <x:c r="D13" s="34" t="n">
        <x:f>IFERROR($B13/100*VLOOKUP($A13,IngredientDB!$C:$I,3,FALSE),0)</x:f>
        <x:v>0</x:v>
      </x:c>
      <x:c r="E13" s="34" t="n">
        <x:f>IFERROR($B13/100*VLOOKUP($A13,IngredientDB!$C:$I,4,FALSE),0)</x:f>
        <x:v>0</x:v>
      </x:c>
      <x:c r="F13" s="34" t="n">
        <x:f>IFERROR($B13/100*VLOOKUP($A13,IngredientDB!$C:$I,5,FALSE),0)</x:f>
        <x:v>0</x:v>
      </x:c>
      <x:c r="G13" s="34" t="n">
        <x:f>IFERROR($B13/100*VLOOKUP($A13,IngredientDB!$C:$I,6,FALSE),0)</x:f>
        <x:v>0</x:v>
      </x:c>
      <x:c r="H13" s="34" t="n">
        <x:f>IFERROR($B13/100*VLOOKUP($A13,IngredientDB!$C:$I,7,FALSE),0)</x:f>
        <x:v>0</x:v>
      </x:c>
      <x:c r="I13" s="8" t="str">
        <x:f>IFERROR(VLOOKUP($A13,IngredientDB!$C:$K,9,FALSE),"")</x:f>
      </x:c>
    </x:row>
    <x:row r="14">
      <x:c r="A14" s="8" t="str"/>
      <x:c r="B14" s="8"/>
      <x:c r="C14" s="8" t="str">
        <x:f>IFERROR(VLOOKUP($A14,IngredientDB!$C:$K,2,FALSE),"")</x:f>
      </x:c>
      <x:c r="D14" s="34" t="n">
        <x:f>IFERROR($B14/100*VLOOKUP($A14,IngredientDB!$C:$I,3,FALSE),0)</x:f>
        <x:v>0</x:v>
      </x:c>
      <x:c r="E14" s="34" t="n">
        <x:f>IFERROR($B14/100*VLOOKUP($A14,IngredientDB!$C:$I,4,FALSE),0)</x:f>
        <x:v>0</x:v>
      </x:c>
      <x:c r="F14" s="34" t="n">
        <x:f>IFERROR($B14/100*VLOOKUP($A14,IngredientDB!$C:$I,5,FALSE),0)</x:f>
        <x:v>0</x:v>
      </x:c>
      <x:c r="G14" s="34" t="n">
        <x:f>IFERROR($B14/100*VLOOKUP($A14,IngredientDB!$C:$I,6,FALSE),0)</x:f>
        <x:v>0</x:v>
      </x:c>
      <x:c r="H14" s="34" t="n">
        <x:f>IFERROR($B14/100*VLOOKUP($A14,IngredientDB!$C:$I,7,FALSE),0)</x:f>
        <x:v>0</x:v>
      </x:c>
      <x:c r="I14" s="8" t="str">
        <x:f>IFERROR(VLOOKUP($A14,IngredientDB!$C:$K,9,FALSE),"")</x:f>
      </x:c>
    </x:row>
    <x:row r="15">
      <x:c r="A15" s="8" t="str"/>
      <x:c r="B15" s="8"/>
      <x:c r="C15" s="8" t="str">
        <x:f>IFERROR(VLOOKUP($A15,IngredientDB!$C:$K,2,FALSE),"")</x:f>
      </x:c>
      <x:c r="D15" s="34" t="n">
        <x:f>IFERROR($B15/100*VLOOKUP($A15,IngredientDB!$C:$I,3,FALSE),0)</x:f>
        <x:v>0</x:v>
      </x:c>
      <x:c r="E15" s="34" t="n">
        <x:f>IFERROR($B15/100*VLOOKUP($A15,IngredientDB!$C:$I,4,FALSE),0)</x:f>
        <x:v>0</x:v>
      </x:c>
      <x:c r="F15" s="34" t="n">
        <x:f>IFERROR($B15/100*VLOOKUP($A15,IngredientDB!$C:$I,5,FALSE),0)</x:f>
        <x:v>0</x:v>
      </x:c>
      <x:c r="G15" s="34" t="n">
        <x:f>IFERROR($B15/100*VLOOKUP($A15,IngredientDB!$C:$I,6,FALSE),0)</x:f>
        <x:v>0</x:v>
      </x:c>
      <x:c r="H15" s="34" t="n">
        <x:f>IFERROR($B15/100*VLOOKUP($A15,IngredientDB!$C:$I,7,FALSE),0)</x:f>
        <x:v>0</x:v>
      </x:c>
      <x:c r="I15" s="8" t="str">
        <x:f>IFERROR(VLOOKUP($A15,IngredientDB!$C:$K,9,FALSE),"")</x:f>
      </x:c>
    </x:row>
    <x:row r="16">
      <x:c r="A16" s="8" t="str"/>
      <x:c r="B16" s="8"/>
      <x:c r="C16" s="8" t="str">
        <x:f>IFERROR(VLOOKUP($A16,IngredientDB!$C:$K,2,FALSE),"")</x:f>
      </x:c>
      <x:c r="D16" s="34" t="n">
        <x:f>IFERROR($B16/100*VLOOKUP($A16,IngredientDB!$C:$I,3,FALSE),0)</x:f>
        <x:v>0</x:v>
      </x:c>
      <x:c r="E16" s="34" t="n">
        <x:f>IFERROR($B16/100*VLOOKUP($A16,IngredientDB!$C:$I,4,FALSE),0)</x:f>
        <x:v>0</x:v>
      </x:c>
      <x:c r="F16" s="34" t="n">
        <x:f>IFERROR($B16/100*VLOOKUP($A16,IngredientDB!$C:$I,5,FALSE),0)</x:f>
        <x:v>0</x:v>
      </x:c>
      <x:c r="G16" s="34" t="n">
        <x:f>IFERROR($B16/100*VLOOKUP($A16,IngredientDB!$C:$I,6,FALSE),0)</x:f>
        <x:v>0</x:v>
      </x:c>
      <x:c r="H16" s="34" t="n">
        <x:f>IFERROR($B16/100*VLOOKUP($A16,IngredientDB!$C:$I,7,FALSE),0)</x:f>
        <x:v>0</x:v>
      </x:c>
      <x:c r="I16" s="8" t="str">
        <x:f>IFERROR(VLOOKUP($A16,IngredientDB!$C:$K,9,FALSE),"")</x:f>
      </x:c>
    </x:row>
    <x:row r="17">
      <x:c r="A17" s="8" t="str"/>
      <x:c r="B17" s="8"/>
      <x:c r="C17" s="8" t="str">
        <x:f>IFERROR(VLOOKUP($A17,IngredientDB!$C:$K,2,FALSE),"")</x:f>
      </x:c>
      <x:c r="D17" s="34" t="n">
        <x:f>IFERROR($B17/100*VLOOKUP($A17,IngredientDB!$C:$I,3,FALSE),0)</x:f>
        <x:v>0</x:v>
      </x:c>
      <x:c r="E17" s="34" t="n">
        <x:f>IFERROR($B17/100*VLOOKUP($A17,IngredientDB!$C:$I,4,FALSE),0)</x:f>
        <x:v>0</x:v>
      </x:c>
      <x:c r="F17" s="34" t="n">
        <x:f>IFERROR($B17/100*VLOOKUP($A17,IngredientDB!$C:$I,5,FALSE),0)</x:f>
        <x:v>0</x:v>
      </x:c>
      <x:c r="G17" s="34" t="n">
        <x:f>IFERROR($B17/100*VLOOKUP($A17,IngredientDB!$C:$I,6,FALSE),0)</x:f>
        <x:v>0</x:v>
      </x:c>
      <x:c r="H17" s="34" t="n">
        <x:f>IFERROR($B17/100*VLOOKUP($A17,IngredientDB!$C:$I,7,FALSE),0)</x:f>
        <x:v>0</x:v>
      </x:c>
      <x:c r="I17" s="8" t="str">
        <x:f>IFERROR(VLOOKUP($A17,IngredientDB!$C:$K,9,FALSE),"")</x:f>
      </x:c>
    </x:row>
    <x:row r="18">
      <x:c r="A18" s="8" t="str"/>
      <x:c r="B18" s="8"/>
      <x:c r="C18" s="8" t="str">
        <x:f>IFERROR(VLOOKUP($A18,IngredientDB!$C:$K,2,FALSE),"")</x:f>
      </x:c>
      <x:c r="D18" s="34" t="n">
        <x:f>IFERROR($B18/100*VLOOKUP($A18,IngredientDB!$C:$I,3,FALSE),0)</x:f>
        <x:v>0</x:v>
      </x:c>
      <x:c r="E18" s="34" t="n">
        <x:f>IFERROR($B18/100*VLOOKUP($A18,IngredientDB!$C:$I,4,FALSE),0)</x:f>
        <x:v>0</x:v>
      </x:c>
      <x:c r="F18" s="34" t="n">
        <x:f>IFERROR($B18/100*VLOOKUP($A18,IngredientDB!$C:$I,5,FALSE),0)</x:f>
        <x:v>0</x:v>
      </x:c>
      <x:c r="G18" s="34" t="n">
        <x:f>IFERROR($B18/100*VLOOKUP($A18,IngredientDB!$C:$I,6,FALSE),0)</x:f>
        <x:v>0</x:v>
      </x:c>
      <x:c r="H18" s="34" t="n">
        <x:f>IFERROR($B18/100*VLOOKUP($A18,IngredientDB!$C:$I,7,FALSE),0)</x:f>
        <x:v>0</x:v>
      </x:c>
      <x:c r="I18" s="8" t="str">
        <x:f>IFERROR(VLOOKUP($A18,IngredientDB!$C:$K,9,FALSE),"")</x:f>
      </x:c>
    </x:row>
    <x:row r="19">
      <x:c r="A19" s="8" t="str"/>
      <x:c r="B19" s="8"/>
      <x:c r="C19" s="8" t="str">
        <x:f>IFERROR(VLOOKUP($A19,IngredientDB!$C:$K,2,FALSE),"")</x:f>
      </x:c>
      <x:c r="D19" s="34" t="n">
        <x:f>IFERROR($B19/100*VLOOKUP($A19,IngredientDB!$C:$I,3,FALSE),0)</x:f>
        <x:v>0</x:v>
      </x:c>
      <x:c r="E19" s="34" t="n">
        <x:f>IFERROR($B19/100*VLOOKUP($A19,IngredientDB!$C:$I,4,FALSE),0)</x:f>
        <x:v>0</x:v>
      </x:c>
      <x:c r="F19" s="34" t="n">
        <x:f>IFERROR($B19/100*VLOOKUP($A19,IngredientDB!$C:$I,5,FALSE),0)</x:f>
        <x:v>0</x:v>
      </x:c>
      <x:c r="G19" s="34" t="n">
        <x:f>IFERROR($B19/100*VLOOKUP($A19,IngredientDB!$C:$I,6,FALSE),0)</x:f>
        <x:v>0</x:v>
      </x:c>
      <x:c r="H19" s="34" t="n">
        <x:f>IFERROR($B19/100*VLOOKUP($A19,IngredientDB!$C:$I,7,FALSE),0)</x:f>
        <x:v>0</x:v>
      </x:c>
      <x:c r="I19" s="8" t="str">
        <x:f>IFERROR(VLOOKUP($A19,IngredientDB!$C:$K,9,FALSE),"")</x:f>
      </x:c>
    </x:row>
    <x:row r="20">
      <x:c r="A20" s="8" t="str"/>
      <x:c r="B20" s="8"/>
      <x:c r="C20" s="8" t="str">
        <x:f>IFERROR(VLOOKUP($A20,IngredientDB!$C:$K,2,FALSE),"")</x:f>
      </x:c>
      <x:c r="D20" s="34" t="n">
        <x:f>IFERROR($B20/100*VLOOKUP($A20,IngredientDB!$C:$I,3,FALSE),0)</x:f>
        <x:v>0</x:v>
      </x:c>
      <x:c r="E20" s="34" t="n">
        <x:f>IFERROR($B20/100*VLOOKUP($A20,IngredientDB!$C:$I,4,FALSE),0)</x:f>
        <x:v>0</x:v>
      </x:c>
      <x:c r="F20" s="34" t="n">
        <x:f>IFERROR($B20/100*VLOOKUP($A20,IngredientDB!$C:$I,5,FALSE),0)</x:f>
        <x:v>0</x:v>
      </x:c>
      <x:c r="G20" s="34" t="n">
        <x:f>IFERROR($B20/100*VLOOKUP($A20,IngredientDB!$C:$I,6,FALSE),0)</x:f>
        <x:v>0</x:v>
      </x:c>
      <x:c r="H20" s="34" t="n">
        <x:f>IFERROR($B20/100*VLOOKUP($A20,IngredientDB!$C:$I,7,FALSE),0)</x:f>
        <x:v>0</x:v>
      </x:c>
      <x:c r="I20" s="8" t="str">
        <x:f>IFERROR(VLOOKUP($A20,IngredientDB!$C:$K,9,FALSE),"")</x:f>
      </x:c>
    </x:row>
    <x:row r="21">
      <x:c r="A21" s="8" t="str"/>
      <x:c r="B21" s="8"/>
      <x:c r="C21" s="8" t="str">
        <x:f>IFERROR(VLOOKUP($A21,IngredientDB!$C:$K,2,FALSE),"")</x:f>
      </x:c>
      <x:c r="D21" s="34" t="n">
        <x:f>IFERROR($B21/100*VLOOKUP($A21,IngredientDB!$C:$I,3,FALSE),0)</x:f>
        <x:v>0</x:v>
      </x:c>
      <x:c r="E21" s="34" t="n">
        <x:f>IFERROR($B21/100*VLOOKUP($A21,IngredientDB!$C:$I,4,FALSE),0)</x:f>
        <x:v>0</x:v>
      </x:c>
      <x:c r="F21" s="34" t="n">
        <x:f>IFERROR($B21/100*VLOOKUP($A21,IngredientDB!$C:$I,5,FALSE),0)</x:f>
        <x:v>0</x:v>
      </x:c>
      <x:c r="G21" s="34" t="n">
        <x:f>IFERROR($B21/100*VLOOKUP($A21,IngredientDB!$C:$I,6,FALSE),0)</x:f>
        <x:v>0</x:v>
      </x:c>
      <x:c r="H21" s="34" t="n">
        <x:f>IFERROR($B21/100*VLOOKUP($A21,IngredientDB!$C:$I,7,FALSE),0)</x:f>
        <x:v>0</x:v>
      </x:c>
      <x:c r="I21" s="8" t="str">
        <x:f>IFERROR(VLOOKUP($A21,IngredientDB!$C:$K,9,FALSE),"")</x:f>
      </x:c>
    </x:row>
    <x:row r="22">
      <x:c r="A22" s="8" t="str"/>
      <x:c r="B22" s="8"/>
      <x:c r="C22" s="8" t="str">
        <x:f>IFERROR(VLOOKUP($A22,IngredientDB!$C:$K,2,FALSE),"")</x:f>
      </x:c>
      <x:c r="D22" s="34" t="n">
        <x:f>IFERROR($B22/100*VLOOKUP($A22,IngredientDB!$C:$I,3,FALSE),0)</x:f>
        <x:v>0</x:v>
      </x:c>
      <x:c r="E22" s="34" t="n">
        <x:f>IFERROR($B22/100*VLOOKUP($A22,IngredientDB!$C:$I,4,FALSE),0)</x:f>
        <x:v>0</x:v>
      </x:c>
      <x:c r="F22" s="34" t="n">
        <x:f>IFERROR($B22/100*VLOOKUP($A22,IngredientDB!$C:$I,5,FALSE),0)</x:f>
        <x:v>0</x:v>
      </x:c>
      <x:c r="G22" s="34" t="n">
        <x:f>IFERROR($B22/100*VLOOKUP($A22,IngredientDB!$C:$I,6,FALSE),0)</x:f>
        <x:v>0</x:v>
      </x:c>
      <x:c r="H22" s="34" t="n">
        <x:f>IFERROR($B22/100*VLOOKUP($A22,IngredientDB!$C:$I,7,FALSE),0)</x:f>
        <x:v>0</x:v>
      </x:c>
      <x:c r="I22" s="8" t="str">
        <x:f>IFERROR(VLOOKUP($A22,IngredientDB!$C:$K,9,FALSE),"")</x:f>
      </x:c>
    </x:row>
    <x:row r="23">
      <x:c r="A23" s="8" t="str"/>
      <x:c r="B23" s="8"/>
      <x:c r="C23" s="8" t="str">
        <x:f>IFERROR(VLOOKUP($A23,IngredientDB!$C:$K,2,FALSE),"")</x:f>
      </x:c>
      <x:c r="D23" s="34" t="n">
        <x:f>IFERROR($B23/100*VLOOKUP($A23,IngredientDB!$C:$I,3,FALSE),0)</x:f>
        <x:v>0</x:v>
      </x:c>
      <x:c r="E23" s="34" t="n">
        <x:f>IFERROR($B23/100*VLOOKUP($A23,IngredientDB!$C:$I,4,FALSE),0)</x:f>
        <x:v>0</x:v>
      </x:c>
      <x:c r="F23" s="34" t="n">
        <x:f>IFERROR($B23/100*VLOOKUP($A23,IngredientDB!$C:$I,5,FALSE),0)</x:f>
        <x:v>0</x:v>
      </x:c>
      <x:c r="G23" s="34" t="n">
        <x:f>IFERROR($B23/100*VLOOKUP($A23,IngredientDB!$C:$I,6,FALSE),0)</x:f>
        <x:v>0</x:v>
      </x:c>
      <x:c r="H23" s="34" t="n">
        <x:f>IFERROR($B23/100*VLOOKUP($A23,IngredientDB!$C:$I,7,FALSE),0)</x:f>
        <x:v>0</x:v>
      </x:c>
      <x:c r="I23" s="8" t="str">
        <x:f>IFERROR(VLOOKUP($A23,IngredientDB!$C:$K,9,FALSE),"")</x:f>
      </x:c>
    </x:row>
    <x:row r="24">
      <x:c r="A24" s="8" t="str"/>
      <x:c r="B24" s="8"/>
      <x:c r="C24" s="8" t="str">
        <x:f>IFERROR(VLOOKUP($A24,IngredientDB!$C:$K,2,FALSE),"")</x:f>
      </x:c>
      <x:c r="D24" s="34" t="n">
        <x:f>IFERROR($B24/100*VLOOKUP($A24,IngredientDB!$C:$I,3,FALSE),0)</x:f>
        <x:v>0</x:v>
      </x:c>
      <x:c r="E24" s="34" t="n">
        <x:f>IFERROR($B24/100*VLOOKUP($A24,IngredientDB!$C:$I,4,FALSE),0)</x:f>
        <x:v>0</x:v>
      </x:c>
      <x:c r="F24" s="34" t="n">
        <x:f>IFERROR($B24/100*VLOOKUP($A24,IngredientDB!$C:$I,5,FALSE),0)</x:f>
        <x:v>0</x:v>
      </x:c>
      <x:c r="G24" s="34" t="n">
        <x:f>IFERROR($B24/100*VLOOKUP($A24,IngredientDB!$C:$I,6,FALSE),0)</x:f>
        <x:v>0</x:v>
      </x:c>
      <x:c r="H24" s="34" t="n">
        <x:f>IFERROR($B24/100*VLOOKUP($A24,IngredientDB!$C:$I,7,FALSE),0)</x:f>
        <x:v>0</x:v>
      </x:c>
      <x:c r="I24" s="8" t="str">
        <x:f>IFERROR(VLOOKUP($A24,IngredientDB!$C:$K,9,FALSE),"")</x:f>
      </x:c>
    </x:row>
    <x:row r="25">
      <x:c r="A25" s="8" t="str"/>
      <x:c r="B25" s="8"/>
      <x:c r="C25" s="8" t="str">
        <x:f>IFERROR(VLOOKUP($A25,IngredientDB!$C:$K,2,FALSE),"")</x:f>
      </x:c>
      <x:c r="D25" s="34" t="n">
        <x:f>IFERROR($B25/100*VLOOKUP($A25,IngredientDB!$C:$I,3,FALSE),0)</x:f>
        <x:v>0</x:v>
      </x:c>
      <x:c r="E25" s="34" t="n">
        <x:f>IFERROR($B25/100*VLOOKUP($A25,IngredientDB!$C:$I,4,FALSE),0)</x:f>
        <x:v>0</x:v>
      </x:c>
      <x:c r="F25" s="34" t="n">
        <x:f>IFERROR($B25/100*VLOOKUP($A25,IngredientDB!$C:$I,5,FALSE),0)</x:f>
        <x:v>0</x:v>
      </x:c>
      <x:c r="G25" s="34" t="n">
        <x:f>IFERROR($B25/100*VLOOKUP($A25,IngredientDB!$C:$I,6,FALSE),0)</x:f>
        <x:v>0</x:v>
      </x:c>
      <x:c r="H25" s="34" t="n">
        <x:f>IFERROR($B25/100*VLOOKUP($A25,IngredientDB!$C:$I,7,FALSE),0)</x:f>
        <x:v>0</x:v>
      </x:c>
      <x:c r="I25" s="8" t="str">
        <x:f>IFERROR(VLOOKUP($A25,IngredientDB!$C:$K,9,FALSE),"")</x:f>
      </x:c>
    </x:row>
    <x:row r="26">
      <x:c r="A26" s="8" t="str"/>
      <x:c r="B26" s="8"/>
      <x:c r="C26" s="8" t="str">
        <x:f>IFERROR(VLOOKUP($A26,IngredientDB!$C:$K,2,FALSE),"")</x:f>
      </x:c>
      <x:c r="D26" s="34" t="n">
        <x:f>IFERROR($B26/100*VLOOKUP($A26,IngredientDB!$C:$I,3,FALSE),0)</x:f>
        <x:v>0</x:v>
      </x:c>
      <x:c r="E26" s="34" t="n">
        <x:f>IFERROR($B26/100*VLOOKUP($A26,IngredientDB!$C:$I,4,FALSE),0)</x:f>
        <x:v>0</x:v>
      </x:c>
      <x:c r="F26" s="34" t="n">
        <x:f>IFERROR($B26/100*VLOOKUP($A26,IngredientDB!$C:$I,5,FALSE),0)</x:f>
        <x:v>0</x:v>
      </x:c>
      <x:c r="G26" s="34" t="n">
        <x:f>IFERROR($B26/100*VLOOKUP($A26,IngredientDB!$C:$I,6,FALSE),0)</x:f>
        <x:v>0</x:v>
      </x:c>
      <x:c r="H26" s="34" t="n">
        <x:f>IFERROR($B26/100*VLOOKUP($A26,IngredientDB!$C:$I,7,FALSE),0)</x:f>
        <x:v>0</x:v>
      </x:c>
      <x:c r="I26" s="8" t="str">
        <x:f>IFERROR(VLOOKUP($A26,IngredientDB!$C:$K,9,FALSE),"")</x:f>
      </x:c>
    </x:row>
    <x:row r="27">
      <x:c r="A27" s="8" t="str"/>
      <x:c r="B27" s="8"/>
      <x:c r="C27" s="8" t="str">
        <x:f>IFERROR(VLOOKUP($A27,IngredientDB!$C:$K,2,FALSE),"")</x:f>
      </x:c>
      <x:c r="D27" s="34" t="n">
        <x:f>IFERROR($B27/100*VLOOKUP($A27,IngredientDB!$C:$I,3,FALSE),0)</x:f>
        <x:v>0</x:v>
      </x:c>
      <x:c r="E27" s="34" t="n">
        <x:f>IFERROR($B27/100*VLOOKUP($A27,IngredientDB!$C:$I,4,FALSE),0)</x:f>
        <x:v>0</x:v>
      </x:c>
      <x:c r="F27" s="34" t="n">
        <x:f>IFERROR($B27/100*VLOOKUP($A27,IngredientDB!$C:$I,5,FALSE),0)</x:f>
        <x:v>0</x:v>
      </x:c>
      <x:c r="G27" s="34" t="n">
        <x:f>IFERROR($B27/100*VLOOKUP($A27,IngredientDB!$C:$I,6,FALSE),0)</x:f>
        <x:v>0</x:v>
      </x:c>
      <x:c r="H27" s="34" t="n">
        <x:f>IFERROR($B27/100*VLOOKUP($A27,IngredientDB!$C:$I,7,FALSE),0)</x:f>
        <x:v>0</x:v>
      </x:c>
      <x:c r="I27" s="8" t="str">
        <x:f>IFERROR(VLOOKUP($A27,IngredientDB!$C:$K,9,FALSE),"")</x:f>
      </x:c>
    </x:row>
    <x:row r="28">
      <x:c r="A28" s="8" t="str"/>
      <x:c r="B28" s="8"/>
      <x:c r="C28" s="8" t="str">
        <x:f>IFERROR(VLOOKUP($A28,IngredientDB!$C:$K,2,FALSE),"")</x:f>
      </x:c>
      <x:c r="D28" s="34" t="n">
        <x:f>IFERROR($B28/100*VLOOKUP($A28,IngredientDB!$C:$I,3,FALSE),0)</x:f>
        <x:v>0</x:v>
      </x:c>
      <x:c r="E28" s="34" t="n">
        <x:f>IFERROR($B28/100*VLOOKUP($A28,IngredientDB!$C:$I,4,FALSE),0)</x:f>
        <x:v>0</x:v>
      </x:c>
      <x:c r="F28" s="34" t="n">
        <x:f>IFERROR($B28/100*VLOOKUP($A28,IngredientDB!$C:$I,5,FALSE),0)</x:f>
        <x:v>0</x:v>
      </x:c>
      <x:c r="G28" s="34" t="n">
        <x:f>IFERROR($B28/100*VLOOKUP($A28,IngredientDB!$C:$I,6,FALSE),0)</x:f>
        <x:v>0</x:v>
      </x:c>
      <x:c r="H28" s="34" t="n">
        <x:f>IFERROR($B28/100*VLOOKUP($A28,IngredientDB!$C:$I,7,FALSE),0)</x:f>
        <x:v>0</x:v>
      </x:c>
      <x:c r="I28" s="8" t="str">
        <x:f>IFERROR(VLOOKUP($A28,IngredientDB!$C:$K,9,FALSE),"")</x:f>
      </x:c>
    </x:row>
  </x:sheetData>
  <x:mergeCells>
    <x:mergeCell ref="A1:P1"/>
  </x:mergeCells>
  <x:dataValidations count="4">
    <x:dataValidation type="list" sqref="B3">
      <x:formula1>"水煮,蒸,烤,炒,炸"</x:formula1>
    </x:dataValidation>
    <x:dataValidation type="list" sqref="B4">
      <x:formula1>"無油,少油,一般,多油"</x:formula1>
    </x:dataValidation>
    <x:dataValidation type="list" sqref="B5">
      <x:formula1>"無,少,正常,多"</x:formula1>
    </x:dataValidation>
    <x:dataValidation type="list" sqref="A9:A28">
      <x:formula1>IngredientDB!$C$2:$C$104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lookup_key</x:v>
      </x:c>
      <x:c r="B1" s="14" t="str">
        <x:v>cooking_method</x:v>
      </x:c>
      <x:c r="C1" s="14" t="str">
        <x:v>oil_level</x:v>
      </x:c>
      <x:c r="D1" s="14" t="str">
        <x:v>oil_g_per_meal</x:v>
      </x:c>
      <x:c r="E1" s="14" t="str">
        <x:v>note</x:v>
      </x:c>
    </x:row>
    <x:row r="2">
      <x:c r="A2" t="str">
        <x:v>水煮|無油</x:v>
      </x:c>
      <x:c r="B2" t="str">
        <x:v>水煮</x:v>
      </x:c>
      <x:c r="C2" s="36" t="str">
        <x:v>無油</x:v>
      </x:c>
      <x:c r="D2" s="36" t="n">
        <x:v>0</x:v>
      </x:c>
      <x:c r="E2" t="str">
        <x:v>以整餐估算；實際依鍋具、吸油率、是否瀝油差異大</x:v>
      </x:c>
    </x:row>
    <x:row r="3">
      <x:c r="A3" t="str">
        <x:v>水煮|少油</x:v>
      </x:c>
      <x:c r="B3" t="str">
        <x:v>水煮</x:v>
      </x:c>
      <x:c r="C3" s="36" t="str">
        <x:v>少油</x:v>
      </x:c>
      <x:c r="D3" s="36" t="n">
        <x:v>0</x:v>
      </x:c>
      <x:c r="E3" t="str">
        <x:v>以整餐估算；實際依鍋具、吸油率、是否瀝油差異大</x:v>
      </x:c>
    </x:row>
    <x:row r="4">
      <x:c r="A4" t="str">
        <x:v>水煮|一般</x:v>
      </x:c>
      <x:c r="B4" t="str">
        <x:v>水煮</x:v>
      </x:c>
      <x:c r="C4" s="36" t="str">
        <x:v>一般</x:v>
      </x:c>
      <x:c r="D4" s="36" t="n">
        <x:v>0</x:v>
      </x:c>
      <x:c r="E4" t="str">
        <x:v>以整餐估算；實際依鍋具、吸油率、是否瀝油差異大</x:v>
      </x:c>
    </x:row>
    <x:row r="5">
      <x:c r="A5" t="str">
        <x:v>水煮|多油</x:v>
      </x:c>
      <x:c r="B5" t="str">
        <x:v>水煮</x:v>
      </x:c>
      <x:c r="C5" s="36" t="str">
        <x:v>多油</x:v>
      </x:c>
      <x:c r="D5" s="36" t="n">
        <x:v>0</x:v>
      </x:c>
      <x:c r="E5" t="str">
        <x:v>以整餐估算；實際依鍋具、吸油率、是否瀝油差異大</x:v>
      </x:c>
    </x:row>
    <x:row r="6">
      <x:c r="A6" t="str">
        <x:v>蒸|無油</x:v>
      </x:c>
      <x:c r="B6" t="str">
        <x:v>蒸</x:v>
      </x:c>
      <x:c r="C6" s="36" t="str">
        <x:v>無油</x:v>
      </x:c>
      <x:c r="D6" s="36" t="n">
        <x:v>0</x:v>
      </x:c>
      <x:c r="E6" t="str">
        <x:v>以整餐估算；實際依鍋具、吸油率、是否瀝油差異大</x:v>
      </x:c>
    </x:row>
    <x:row r="7">
      <x:c r="A7" t="str">
        <x:v>蒸|少油</x:v>
      </x:c>
      <x:c r="B7" t="str">
        <x:v>蒸</x:v>
      </x:c>
      <x:c r="C7" s="36" t="str">
        <x:v>少油</x:v>
      </x:c>
      <x:c r="D7" s="36" t="n">
        <x:v>0</x:v>
      </x:c>
      <x:c r="E7" t="str">
        <x:v>以整餐估算；實際依鍋具、吸油率、是否瀝油差異大</x:v>
      </x:c>
    </x:row>
    <x:row r="8">
      <x:c r="A8" t="str">
        <x:v>蒸|一般</x:v>
      </x:c>
      <x:c r="B8" t="str">
        <x:v>蒸</x:v>
      </x:c>
      <x:c r="C8" s="36" t="str">
        <x:v>一般</x:v>
      </x:c>
      <x:c r="D8" s="36" t="n">
        <x:v>0</x:v>
      </x:c>
      <x:c r="E8" t="str">
        <x:v>以整餐估算；實際依鍋具、吸油率、是否瀝油差異大</x:v>
      </x:c>
    </x:row>
    <x:row r="9">
      <x:c r="A9" t="str">
        <x:v>蒸|多油</x:v>
      </x:c>
      <x:c r="B9" t="str">
        <x:v>蒸</x:v>
      </x:c>
      <x:c r="C9" s="36" t="str">
        <x:v>多油</x:v>
      </x:c>
      <x:c r="D9" s="36" t="n">
        <x:v>0</x:v>
      </x:c>
      <x:c r="E9" t="str">
        <x:v>以整餐估算；實際依鍋具、吸油率、是否瀝油差異大</x:v>
      </x:c>
    </x:row>
    <x:row r="10">
      <x:c r="A10" t="str">
        <x:v>烤|無油</x:v>
      </x:c>
      <x:c r="B10" t="str">
        <x:v>烤</x:v>
      </x:c>
      <x:c r="C10" s="36" t="str">
        <x:v>無油</x:v>
      </x:c>
      <x:c r="D10" s="36" t="n">
        <x:v>0</x:v>
      </x:c>
      <x:c r="E10" t="str">
        <x:v>以整餐估算；實際依鍋具、吸油率、是否瀝油差異大</x:v>
      </x:c>
    </x:row>
    <x:row r="11">
      <x:c r="A11" t="str">
        <x:v>烤|少油</x:v>
      </x:c>
      <x:c r="B11" t="str">
        <x:v>烤</x:v>
      </x:c>
      <x:c r="C11" s="36" t="str">
        <x:v>少油</x:v>
      </x:c>
      <x:c r="D11" s="36" t="n">
        <x:v>3</x:v>
      </x:c>
      <x:c r="E11" t="str">
        <x:v>以整餐估算；實際依鍋具、吸油率、是否瀝油差異大</x:v>
      </x:c>
    </x:row>
    <x:row r="12">
      <x:c r="A12" t="str">
        <x:v>烤|一般</x:v>
      </x:c>
      <x:c r="B12" t="str">
        <x:v>烤</x:v>
      </x:c>
      <x:c r="C12" s="36" t="str">
        <x:v>一般</x:v>
      </x:c>
      <x:c r="D12" s="36" t="n">
        <x:v>6</x:v>
      </x:c>
      <x:c r="E12" t="str">
        <x:v>以整餐估算；實際依鍋具、吸油率、是否瀝油差異大</x:v>
      </x:c>
    </x:row>
    <x:row r="13">
      <x:c r="A13" t="str">
        <x:v>烤|多油</x:v>
      </x:c>
      <x:c r="B13" t="str">
        <x:v>烤</x:v>
      </x:c>
      <x:c r="C13" s="36" t="str">
        <x:v>多油</x:v>
      </x:c>
      <x:c r="D13" s="36" t="n">
        <x:v>10</x:v>
      </x:c>
      <x:c r="E13" t="str">
        <x:v>以整餐估算；實際依鍋具、吸油率、是否瀝油差異大</x:v>
      </x:c>
    </x:row>
    <x:row r="14">
      <x:c r="A14" t="str">
        <x:v>炒|無油</x:v>
      </x:c>
      <x:c r="B14" t="str">
        <x:v>炒</x:v>
      </x:c>
      <x:c r="C14" s="36" t="str">
        <x:v>無油</x:v>
      </x:c>
      <x:c r="D14" s="36" t="n">
        <x:v>0</x:v>
      </x:c>
      <x:c r="E14" t="str">
        <x:v>以整餐估算；實際依鍋具、吸油率、是否瀝油差異大</x:v>
      </x:c>
    </x:row>
    <x:row r="15">
      <x:c r="A15" t="str">
        <x:v>炒|少油</x:v>
      </x:c>
      <x:c r="B15" t="str">
        <x:v>炒</x:v>
      </x:c>
      <x:c r="C15" s="36" t="str">
        <x:v>少油</x:v>
      </x:c>
      <x:c r="D15" s="36" t="n">
        <x:v>5</x:v>
      </x:c>
      <x:c r="E15" t="str">
        <x:v>以整餐估算；實際依鍋具、吸油率、是否瀝油差異大</x:v>
      </x:c>
    </x:row>
    <x:row r="16">
      <x:c r="A16" t="str">
        <x:v>炒|一般</x:v>
      </x:c>
      <x:c r="B16" t="str">
        <x:v>炒</x:v>
      </x:c>
      <x:c r="C16" s="36" t="str">
        <x:v>一般</x:v>
      </x:c>
      <x:c r="D16" s="36" t="n">
        <x:v>10</x:v>
      </x:c>
      <x:c r="E16" t="str">
        <x:v>以整餐估算；實際依鍋具、吸油率、是否瀝油差異大</x:v>
      </x:c>
    </x:row>
    <x:row r="17">
      <x:c r="A17" t="str">
        <x:v>炒|多油</x:v>
      </x:c>
      <x:c r="B17" t="str">
        <x:v>炒</x:v>
      </x:c>
      <x:c r="C17" s="36" t="str">
        <x:v>多油</x:v>
      </x:c>
      <x:c r="D17" s="36" t="n">
        <x:v>18</x:v>
      </x:c>
      <x:c r="E17" t="str">
        <x:v>以整餐估算；實際依鍋具、吸油率、是否瀝油差異大</x:v>
      </x:c>
    </x:row>
    <x:row r="18">
      <x:c r="A18" t="str">
        <x:v>炸|無油</x:v>
      </x:c>
      <x:c r="B18" t="str">
        <x:v>炸</x:v>
      </x:c>
      <x:c r="C18" s="36" t="str">
        <x:v>無油</x:v>
      </x:c>
      <x:c r="D18" s="36" t="n">
        <x:v>0</x:v>
      </x:c>
      <x:c r="E18" t="str">
        <x:v>以整餐估算；實際依鍋具、吸油率、是否瀝油差異大</x:v>
      </x:c>
    </x:row>
    <x:row r="19">
      <x:c r="A19" t="str">
        <x:v>炸|少油</x:v>
      </x:c>
      <x:c r="B19" t="str">
        <x:v>炸</x:v>
      </x:c>
      <x:c r="C19" s="36" t="str">
        <x:v>少油</x:v>
      </x:c>
      <x:c r="D19" s="36" t="n">
        <x:v>10</x:v>
      </x:c>
      <x:c r="E19" t="str">
        <x:v>以整餐估算；實際依鍋具、吸油率、是否瀝油差異大</x:v>
      </x:c>
    </x:row>
    <x:row r="20">
      <x:c r="A20" t="str">
        <x:v>炸|一般</x:v>
      </x:c>
      <x:c r="B20" t="str">
        <x:v>炸</x:v>
      </x:c>
      <x:c r="C20" s="36" t="str">
        <x:v>一般</x:v>
      </x:c>
      <x:c r="D20" s="36" t="n">
        <x:v>20</x:v>
      </x:c>
      <x:c r="E20" t="str">
        <x:v>以整餐估算；實際依鍋具、吸油率、是否瀝油差異大</x:v>
      </x:c>
    </x:row>
    <x:row r="21">
      <x:c r="A21" t="str">
        <x:v>炸|多油</x:v>
      </x:c>
      <x:c r="B21" t="str">
        <x:v>炸</x:v>
      </x:c>
      <x:c r="C21" s="36" t="str">
        <x:v>多油</x:v>
      </x:c>
      <x:c r="D21" s="36" t="n">
        <x:v>35</x:v>
      </x:c>
      <x:c r="E21" t="str">
        <x:v>以整餐估算；實際依鍋具、吸油率、是否瀝油差異大</x:v>
      </x:c>
    </x:row>
    <x:row r="22">
      <x:c r="C22" s="36"/>
      <x:c r="D22" s="36"/>
    </x:row>
    <x:row r="23">
      <x:c r="C23" s="36"/>
      <x:c r="D23" s="36"/>
    </x:row>
    <x:row r="24">
      <x:c r="C24" s="36"/>
      <x:c r="D24" s="36"/>
    </x:row>
    <x:row r="25">
      <x:c r="C25" s="36"/>
      <x:c r="D25" s="36"/>
    </x:row>
    <x:row r="26">
      <x:c r="C26" s="36"/>
      <x:c r="D26" s="36"/>
    </x:row>
    <x:row r="27">
      <x:c r="C27" s="36"/>
      <x:c r="D27" s="36"/>
    </x:row>
    <x:row r="28">
      <x:c r="C28" s="36"/>
      <x:c r="D28" s="36"/>
    </x:row>
    <x:row r="29">
      <x:c r="C29" s="36"/>
      <x:c r="D29" s="36"/>
    </x:row>
    <x:row r="30">
      <x:c r="C30" s="36"/>
      <x:c r="D30" s="36"/>
    </x:row>
  </x:sheetData>
  <x:pageMargins left="0.7" right="0.7" top="0.75" bottom="0.75" header="0.3" footer="0.3"/>
  <x:tableParts count="1">
    <x:tablePart xmlns:r="http://schemas.openxmlformats.org/officeDocument/2006/relationships" r:id="Rcc382a17c8b7490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14" t="str">
        <x:v>sauce_level</x:v>
      </x:c>
      <x:c r="B1" s="14" t="str">
        <x:v>kcal</x:v>
      </x:c>
      <x:c r="C1" s="14" t="str">
        <x:v>protein_g</x:v>
      </x:c>
      <x:c r="D1" s="14" t="str">
        <x:v>fat_g</x:v>
      </x:c>
      <x:c r="E1" s="14" t="str">
        <x:v>carb_g</x:v>
      </x:c>
      <x:c r="F1" s="14" t="str">
        <x:v>sodium_mg</x:v>
      </x:c>
      <x:c r="G1" s="14" t="str">
        <x:v>note</x:v>
      </x:c>
    </x:row>
    <x:row r="2">
      <x:c r="A2" t="str">
        <x:v>無</x:v>
      </x:c>
      <x:c r="B2" s="36" t="n">
        <x:v>0</x:v>
      </x:c>
      <x:c r="C2" s="36" t="n">
        <x:v>0</x:v>
      </x:c>
      <x:c r="D2" s="36" t="n">
        <x:v>0</x:v>
      </x:c>
      <x:c r="E2" s="36" t="n">
        <x:v>0</x:v>
      </x:c>
      <x:c r="F2" s="36" t="n">
        <x:v>0</x:v>
      </x:c>
      <x:c r="G2" t="str">
        <x:v>不加醬/不喝湯汁</x:v>
      </x:c>
    </x:row>
    <x:row r="3">
      <x:c r="A3" t="str">
        <x:v>少</x:v>
      </x:c>
      <x:c r="B3" s="36" t="n">
        <x:v>15</x:v>
      </x:c>
      <x:c r="C3" s="36" t="n">
        <x:v>0.5</x:v>
      </x:c>
      <x:c r="D3" s="36" t="n">
        <x:v>0.2</x:v>
      </x:c>
      <x:c r="E3" s="36" t="n">
        <x:v>3</x:v>
      </x:c>
      <x:c r="F3" s="36" t="n">
        <x:v>250</x:v>
      </x:c>
      <x:c r="G3" t="str">
        <x:v>薄薄一層醬油/滷汁/便當醬</x:v>
      </x:c>
    </x:row>
    <x:row r="4">
      <x:c r="A4" t="str">
        <x:v>正常</x:v>
      </x:c>
      <x:c r="B4" s="36" t="n">
        <x:v>40</x:v>
      </x:c>
      <x:c r="C4" s="36" t="n">
        <x:v>1</x:v>
      </x:c>
      <x:c r="D4" s="36" t="n">
        <x:v>0.5</x:v>
      </x:c>
      <x:c r="E4" s="36" t="n">
        <x:v>8</x:v>
      </x:c>
      <x:c r="F4" s="36" t="n">
        <x:v>650</x:v>
      </x:c>
      <x:c r="G4" t="str">
        <x:v>一般外食醬汁量</x:v>
      </x:c>
    </x:row>
    <x:row r="5">
      <x:c r="A5" t="str">
        <x:v>多</x:v>
      </x:c>
      <x:c r="B5" s="36" t="n">
        <x:v>80</x:v>
      </x:c>
      <x:c r="C5" s="36" t="n">
        <x:v>2</x:v>
      </x:c>
      <x:c r="D5" s="36" t="n">
        <x:v>1</x:v>
      </x:c>
      <x:c r="E5" s="36" t="n">
        <x:v>16</x:v>
      </x:c>
      <x:c r="F5" s="36" t="n">
        <x:v>1300</x:v>
      </x:c>
      <x:c r="G5" t="str">
        <x:v>大量醬汁、滷汁、勾芡、甜醬</x:v>
      </x:c>
    </x:row>
    <x:row r="6">
      <x:c r="B6" s="36"/>
      <x:c r="C6" s="36"/>
      <x:c r="D6" s="36"/>
      <x:c r="E6" s="36"/>
      <x:c r="F6" s="36"/>
    </x:row>
    <x:row r="7">
      <x:c r="B7" s="36"/>
      <x:c r="C7" s="36"/>
      <x:c r="D7" s="36"/>
      <x:c r="E7" s="36"/>
      <x:c r="F7" s="36"/>
    </x:row>
    <x:row r="8">
      <x:c r="B8" s="36"/>
      <x:c r="C8" s="36"/>
      <x:c r="D8" s="36"/>
      <x:c r="E8" s="36"/>
      <x:c r="F8" s="36"/>
    </x:row>
    <x:row r="9">
      <x:c r="B9" s="36"/>
      <x:c r="C9" s="36"/>
      <x:c r="D9" s="36"/>
      <x:c r="E9" s="36"/>
      <x:c r="F9" s="36"/>
    </x:row>
    <x:row r="10">
      <x:c r="B10" s="36"/>
      <x:c r="C10" s="36"/>
      <x:c r="D10" s="36"/>
      <x:c r="E10" s="36"/>
      <x:c r="F10" s="36"/>
    </x:row>
  </x:sheetData>
  <x:pageMargins left="0.7" right="0.7" top="0.75" bottom="0.75" header="0.3" footer="0.3"/>
  <x:tableParts count="1">
    <x:tablePart xmlns:r="http://schemas.openxmlformats.org/officeDocument/2006/relationships" r:id="R8c4b6c7bc158455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</x:cols>
  <x:sheetData>
    <x:row r="1">
      <x:c r="A1" s="14" t="str">
        <x:v>主題</x:v>
      </x:c>
      <x:c r="B1" s="14" t="str">
        <x:v>內容</x:v>
      </x:c>
    </x:row>
    <x:row r="2">
      <x:c r="A2" s="8" t="str">
        <x:v>資料來源</x:v>
      </x:c>
      <x:c r="B2" s="8" t="str">
        <x:v>以台灣食藥署「台灣地區食品營養成分資料庫」與 USDA FoodData Central 作為基礎來源；本表是 MVP 可用的常見原形食物 baseline，正式上線建議逐列綁定官方 food_id。</x:v>
      </x:c>
    </x:row>
    <x:row r="3">
      <x:c r="A3" s="8" t="str">
        <x:v>每 100g 基準</x:v>
      </x:c>
      <x:c r="B3" s="8" t="str">
        <x:v>所有食材以 100g 可食部為單位；熱量 kcal、蛋白質/脂肪/碳水 g、鈉 mg。</x:v>
      </x:c>
    </x:row>
    <x:row r="4">
      <x:c r="A4" s="8" t="str">
        <x:v>用戶輸入重量</x:v>
      </x:c>
      <x:c r="B4" s="8" t="str">
        <x:v>建議定義為「入口前盤中重量/熟重」。若用戶輸入生重，請選擇生重版本或另建 raw DB。</x:v>
      </x:c>
    </x:row>
    <x:row r="5">
      <x:c r="A5" s="8" t="str">
        <x:v>烹調方式</x:v>
      </x:c>
      <x:c r="B5" s="8" t="str">
        <x:v>MVP 中烹調方式本身不改變營養素，只透過 Oil_Rules 加上整餐用油。水煮/蒸通常 0g 油；烤/炒/炸依少油/一般/多油估算。</x:v>
      </x:c>
    </x:row>
    <x:row r="6">
      <x:c r="A6" s="8" t="str">
        <x:v>醬汁</x:v>
      </x:c>
      <x:c r="B6" s="8" t="str">
        <x:v>Sauce_Rules 是台式外食泛用估算。若要更準，下一版加 sauce_type：清醬油、甜辣醬、滷汁、勾芡、美乃滋/油醬。</x:v>
      </x:c>
    </x:row>
    <x:row r="7">
      <x:c r="A7" s="8" t="str">
        <x:v>公式</x:v>
      </x:c>
      <x:c r="B7" s="8" t="str">
        <x:v>基礎營養 = 食材重量g / 100 × 該食材每100g營養；油 kcal = 油g × 9；油脂肪 = 油g；醬汁依等級加成。</x:v>
      </x:c>
    </x:row>
    <x:row r="8">
      <x:c r="A8" s="8" t="str">
        <x:v>鈉</x:v>
      </x:c>
      <x:c r="B8" s="8" t="str">
        <x:v>原形食物鈉通常低；外食鈉主要來自醬汁、鹽、滷汁、湯汁，因此鈉的準確度取決於 Sauce_Rules。</x:v>
      </x:c>
    </x:row>
    <x:row r="9">
      <x:c r="A9" s="8" t="str">
        <x:v>資料庫 URL</x:v>
      </x:c>
      <x:c r="B9" s="8" t="str">
        <x:v>Taiwan FDA: https://www.fda.gov.tw/tc/siteList.aspx?sid=284</x:v>
      </x:c>
    </x:row>
    <x:row r="10">
      <x:c r="A10" s="8" t="str">
        <x:v>資料庫 URL</x:v>
      </x:c>
      <x:c r="B10" s="8" t="str">
        <x:v>USDA FoodData Central: https://fdc.nal.usda.gov/</x:v>
      </x:c>
    </x:row>
    <x:row r="11">
      <x:c r="A11" s="8" t="str">
        <x:v>營養標示口徑</x:v>
      </x:c>
      <x:c r="B11" s="8" t="str">
        <x:v>台灣包裝食品營養標示常用每份與每100公克/毫升標示；App DB 使用每100g較適合換算。</x:v>
      </x:c>
    </x:row>
    <x:row r="12">
      <x:c r="A12" s="8"/>
      <x:c r="B12" s="8"/>
    </x:row>
    <x:row r="13">
      <x:c r="A13" s="8"/>
      <x:c r="B13" s="8"/>
    </x:row>
    <x:row r="14">
      <x:c r="A14" s="8"/>
      <x:c r="B14" s="8"/>
    </x:row>
    <x:row r="15">
      <x:c r="A15" s="8"/>
      <x:c r="B15" s="8"/>
    </x:row>
    <x:row r="16">
      <x:c r="A16" s="8"/>
      <x:c r="B16" s="8"/>
    </x:row>
    <x:row r="17">
      <x:c r="A17" s="8"/>
      <x:c r="B17" s="8"/>
    </x:row>
    <x:row r="18">
      <x:c r="A18" s="8"/>
      <x:c r="B18" s="8"/>
    </x:row>
    <x:row r="19">
      <x:c r="A19" s="8"/>
      <x:c r="B19" s="8"/>
    </x:row>
    <x:row r="20">
      <x:c r="A20" s="8"/>
      <x:c r="B20" s="8"/>
    </x:row>
  </x:sheetData>
  <x:pageMargins left="0.7" right="0.7" top="0.75" bottom="0.75" header="0.3" footer="0.3"/>
</x:worksheet>
</file>