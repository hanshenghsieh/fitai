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f30a8bd22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redientDB" sheetId="1" r:id="R79b0eefe82674e7c"/>
    <x:sheet xmlns:r="http://schemas.openxmlformats.org/officeDocument/2006/relationships" name="Meal_Calculator" sheetId="2" r:id="R5835457ab7ce4815"/>
    <x:sheet xmlns:r="http://schemas.openxmlformats.org/officeDocument/2006/relationships" name="Oil_Rules" sheetId="3" r:id="R071bd5d9550948e6"/>
    <x:sheet xmlns:r="http://schemas.openxmlformats.org/officeDocument/2006/relationships" name="Sauce_Rules" sheetId="4" r:id="Rf307a50e9d764437"/>
    <x:sheet xmlns:r="http://schemas.openxmlformats.org/officeDocument/2006/relationships" name="Implementation_Notes" sheetId="5" r:id="R6c2f7e0e96354dc2"/>
    <x:sheet xmlns:r="http://schemas.openxmlformats.org/officeDocument/2006/relationships" name="Coverage_Summary" sheetId="6" r:id="R67939da9b1bd4cc1"/>
    <x:sheet xmlns:r="http://schemas.openxmlformats.org/officeDocument/2006/relationships" name="Data_Sources" sheetId="7" r:id="R083c99623882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3" fillId="5" borderId="0" xfId="0" applyNumberFormat="1" applyFont="1" applyFill="1" applyBorder="1"/>
    <x:xf numFmtId="200" fontId="0" fillId="0" borderId="1" xfId="0" applyNumberFormat="1" applyFont="1" applyFill="1" applyBorder="1"/>
    <x:xf numFmtId="200" fontId="3" fillId="5" borderId="1" xfId="0" applyNumberFormat="1" applyFont="1" applyFill="1" applyBorder="1"/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591a49da3411a" /><Relationship Type="http://schemas.openxmlformats.org/officeDocument/2006/relationships/theme" Target="/xl/theme/theme1.xml" Id="R31dcfcdc86ce457b" /><Relationship Type="http://schemas.openxmlformats.org/officeDocument/2006/relationships/sharedStrings" Target="/xl/sharedStrings.xml" Id="Rafd49e7c74dd4b6e" /><Relationship Type="http://schemas.openxmlformats.org/officeDocument/2006/relationships/worksheet" Target="/xl/worksheets/sheet1.xml" Id="R79b0eefe82674e7c" /><Relationship Type="http://schemas.openxmlformats.org/officeDocument/2006/relationships/worksheet" Target="/xl/worksheets/sheet2.xml" Id="R5835457ab7ce4815" /><Relationship Type="http://schemas.openxmlformats.org/officeDocument/2006/relationships/worksheet" Target="/xl/worksheets/sheet3.xml" Id="R071bd5d9550948e6" /><Relationship Type="http://schemas.openxmlformats.org/officeDocument/2006/relationships/worksheet" Target="/xl/worksheets/sheet4.xml" Id="Rf307a50e9d764437" /><Relationship Type="http://schemas.openxmlformats.org/officeDocument/2006/relationships/worksheet" Target="/xl/worksheets/sheet5.xml" Id="R6c2f7e0e96354dc2" /><Relationship Type="http://schemas.openxmlformats.org/officeDocument/2006/relationships/worksheet" Target="/xl/worksheets/sheet6.xml" Id="R67939da9b1bd4cc1" /><Relationship Type="http://schemas.openxmlformats.org/officeDocument/2006/relationships/worksheet" Target="/xl/worksheets/sheet7.xml" Id="R083c996238824001" /></Relationships>
</file>

<file path=xl/tables/table1.xml><?xml version="1.0" encoding="utf-8"?>
<x:table xmlns:x="http://schemas.openxmlformats.org/spreadsheetml/2006/main" id="1" name="IngredientTable" displayName="IngredientTable" ref="A1:K104" headerRowCount="1">
  <x:tableColumns count="11">
    <x:tableColumn id="1" name="food_id"/>
    <x:tableColumn id="2" name="category"/>
    <x:tableColumn id="3" name="food_name"/>
    <x:tableColumn id="4" name="state"/>
    <x:tableColumn id="5" name="kcal_100g"/>
    <x:tableColumn id="6" name="protein_g_100g"/>
    <x:tableColumn id="7" name="fat_g_100g"/>
    <x:tableColumn id="8" name="carb_g_100g"/>
    <x:tableColumn id="9" name="sodium_mg_100g"/>
    <x:tableColumn id="10" name="source"/>
    <x:tableColumn id="11" name="note"/>
  </x:tableColumns>
  <x:tableStyleInfo name="TableStyleMedium2" showRowStripes="1"/>
</x:table>
</file>

<file path=xl/tables/table2.xml><?xml version="1.0" encoding="utf-8"?>
<x:table xmlns:x="http://schemas.openxmlformats.org/spreadsheetml/2006/main" id="4" name="IngredientDBTable" displayName="IngredientDBTable" ref="A1:L516" headerRowCount="1">
  <x:tableColumns count="12">
    <x:tableColumn id="1" name="food_id"/>
    <x:tableColumn id="2" name="category"/>
    <x:tableColumn id="3" name="food_name"/>
    <x:tableColumn id="4" name="state"/>
    <x:tableColumn id="5" name="kcal_100g"/>
    <x:tableColumn id="6" name="protein_g_100g"/>
    <x:tableColumn id="7" name="fat_g_100g"/>
    <x:tableColumn id="8" name="carb_g_100g"/>
    <x:tableColumn id="9" name="sodium_mg_100g"/>
    <x:tableColumn id="10" name="source"/>
    <x:tableColumn id="11" name="note"/>
    <x:tableColumn id="12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2" name="OilRulesTable" displayName="OilRulesTable" ref="A1:E21" headerRowCount="1">
  <x:tableColumns count="5">
    <x:tableColumn id="1" name="cooking_method"/>
    <x:tableColumn id="2" name="oil_level"/>
    <x:tableColumn id="3" name="oil_g_per_meal"/>
    <x:tableColumn id="4" name="lookup_key"/>
    <x:tableColumn id="5" name="note"/>
  </x:tableColumns>
  <x:tableStyleInfo name="TableStyleMedium2" showRowStripes="1"/>
</x:table>
</file>

<file path=xl/tables/table4.xml><?xml version="1.0" encoding="utf-8"?>
<x:table xmlns:x="http://schemas.openxmlformats.org/spreadsheetml/2006/main" id="3" name="SauceRulesTable" displayName="SauceRulesTable" ref="A1:G5" headerRowCount="1">
  <x:tableColumns count="7">
    <x:tableColumn id="1" name="sauce_level"/>
    <x:tableColumn id="2" name="kcal"/>
    <x:tableColumn id="3" name="protein_g"/>
    <x:tableColumn id="4" name="fat_g"/>
    <x:tableColumn id="5" name="carb_g"/>
    <x:tableColumn id="6" name="sodium_mg"/>
    <x:tableColumn id="7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DataSourcesTable" displayName="DataSourcesTable" ref="A3:D7" headerRowCount="1">
  <x:tableColumns count="4">
    <x:tableColumn id="1" name="source_name"/>
    <x:tableColumn id="2" name="official_url"/>
    <x:tableColumn id="3" name="usage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fc64dbc2764793" /><Relationship Type="http://schemas.openxmlformats.org/officeDocument/2006/relationships/table" Target="/xl/tables/table2.xml" Id="R8098f2b43adc49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149205994b43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3719389ee844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8c27ee4990d4fe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4" hidden="0" customWidth="1"/>
    <x:col min="5" max="5" width="11" hidden="0" customWidth="1"/>
    <x:col min="6" max="6" width="14" hidden="0" customWidth="1"/>
    <x:col min="7" max="7" width="12" hidden="0" customWidth="1"/>
    <x:col min="8" max="8" width="13" hidden="0" customWidth="1"/>
    <x:col min="9" max="9" width="14" hidden="0" customWidth="1"/>
    <x:col min="10" max="10" width="24" hidden="0" customWidth="1"/>
    <x:col min="11" max="11" width="32" hidden="0" customWidth="1"/>
    <x:col min="12" max="12" width="42" hidden="0" customWidth="1"/>
  </x:cols>
  <x:sheetData>
    <x:row r="1">
      <x:c r="A1" s="41" t="str">
        <x:v>food_id</x:v>
      </x:c>
      <x:c r="B1" s="41" t="str">
        <x:v>category</x:v>
      </x:c>
      <x:c r="C1" s="41" t="str">
        <x:v>food_name</x:v>
      </x:c>
      <x:c r="D1" s="41" t="str">
        <x:v>state</x:v>
      </x:c>
      <x:c r="E1" s="41" t="str">
        <x:v>kcal_100g</x:v>
      </x:c>
      <x:c r="F1" s="41" t="str">
        <x:v>protein_g_100g</x:v>
      </x:c>
      <x:c r="G1" s="41" t="str">
        <x:v>fat_g_100g</x:v>
      </x:c>
      <x:c r="H1" s="41" t="str">
        <x:v>carb_g_100g</x:v>
      </x:c>
      <x:c r="I1" s="41" t="str">
        <x:v>sodium_mg_100g</x:v>
      </x:c>
      <x:c r="J1" s="41" t="str">
        <x:v>source</x:v>
      </x:c>
      <x:c r="K1" s="41" t="str">
        <x:v>note</x:v>
      </x:c>
      <x:c r="L1" s="45" t="str">
        <x:v>source_url</x:v>
      </x:c>
    </x:row>
    <x:row r="2">
      <x:c r="A2" s="47" t="str">
        <x:v>ST001</x:v>
      </x:c>
      <x:c r="B2" s="47" t="str">
        <x:v>主食/澱粉</x:v>
      </x:c>
      <x:c r="C2" s="47" t="str">
        <x:v>白飯（熟）</x:v>
      </x:c>
      <x:c r="D2" s="47" t="str">
        <x:v>熟/可食部</x:v>
      </x:c>
      <x:c r="E2" s="48" t="n">
        <x:v>130</x:v>
      </x:c>
      <x:c r="F2" s="48" t="n">
        <x:v>2.4</x:v>
      </x:c>
      <x:c r="G2" s="48" t="n">
        <x:v>0.3</x:v>
      </x:c>
      <x:c r="H2" s="48" t="n">
        <x:v>28.2</x:v>
      </x:c>
      <x:c r="I2" s="49" t="n">
        <x:v>1</x:v>
      </x:c>
      <x:c r="J2" s="47" t="str">
        <x:v>USDA FDC / Taiwan FDA nutrition DB</x:v>
      </x:c>
      <x:c r="K2" s="47" t="str">
        <x:v>白飯水分差異大，便當飯可用此值</x:v>
      </x:c>
      <x:c r="L2" s="47" t="str">
        <x:v>https://fdc.nal.usda.gov/ ; https://www.fda.gov.tw/tc/siteList.aspx?sid=284 ; https://consumer.fda.gov.tw/Food/TFND.aspx?nodeID=178</x:v>
      </x:c>
    </x:row>
    <x:row r="3">
      <x:c r="A3" s="47" t="str">
        <x:v>ST002</x:v>
      </x:c>
      <x:c r="B3" s="47" t="str">
        <x:v>主食/澱粉</x:v>
      </x:c>
      <x:c r="C3" s="47" t="str">
        <x:v>糙米飯（熟）</x:v>
      </x:c>
      <x:c r="D3" s="47" t="str">
        <x:v>熟/可食部</x:v>
      </x:c>
      <x:c r="E3" s="48" t="n">
        <x:v>123</x:v>
      </x:c>
      <x:c r="F3" s="48" t="n">
        <x:v>2.7</x:v>
      </x:c>
      <x:c r="G3" s="48" t="n">
        <x:v>1</x:v>
      </x:c>
      <x:c r="H3" s="48" t="n">
        <x:v>25.6</x:v>
      </x:c>
      <x:c r="I3" s="49" t="n">
        <x:v>4</x:v>
      </x:c>
      <x:c r="J3" s="47" t="str">
        <x:v>USDA FDC / Taiwan FDA nutrition DB</x:v>
      </x:c>
      <x:c r="K3" s="47"/>
      <x:c r="L3" s="47" t="str">
        <x:v>https://fdc.nal.usda.gov/ ; https://www.fda.gov.tw/tc/siteList.aspx?sid=284 ; https://consumer.fda.gov.tw/Food/TFND.aspx?nodeID=178</x:v>
      </x:c>
    </x:row>
    <x:row r="4">
      <x:c r="A4" s="47" t="str">
        <x:v>ST003</x:v>
      </x:c>
      <x:c r="B4" s="47" t="str">
        <x:v>主食/澱粉</x:v>
      </x:c>
      <x:c r="C4" s="47" t="str">
        <x:v>燕麥片（乾）</x:v>
      </x:c>
      <x:c r="D4" s="47" t="str">
        <x:v>乾/可食部</x:v>
      </x:c>
      <x:c r="E4" s="48" t="n">
        <x:v>389</x:v>
      </x:c>
      <x:c r="F4" s="48" t="n">
        <x:v>16.9</x:v>
      </x:c>
      <x:c r="G4" s="48" t="n">
        <x:v>6.9</x:v>
      </x:c>
      <x:c r="H4" s="48" t="n">
        <x:v>66.3</x:v>
      </x:c>
      <x:c r="I4" s="49" t="n">
        <x:v>2</x:v>
      </x:c>
      <x:c r="J4" s="47" t="str">
        <x:v>USDA FDC</x:v>
      </x:c>
      <x:c r="K4" s="47" t="str">
        <x:v>使用乾重；泡水後請用乾重或另建熟重</x:v>
      </x:c>
      <x:c r="L4" s="47" t="str">
        <x:v>https://fdc.nal.usda.gov/</x:v>
      </x:c>
    </x:row>
    <x:row r="5">
      <x:c r="A5" s="47" t="str">
        <x:v>ST004</x:v>
      </x:c>
      <x:c r="B5" s="47" t="str">
        <x:v>主食/澱粉</x:v>
      </x:c>
      <x:c r="C5" s="47" t="str">
        <x:v>地瓜（蒸）</x:v>
      </x:c>
      <x:c r="D5" s="47" t="str">
        <x:v>熟/可食部</x:v>
      </x:c>
      <x:c r="E5" s="48" t="n">
        <x:v>90</x:v>
      </x:c>
      <x:c r="F5" s="48" t="n">
        <x:v>2</x:v>
      </x:c>
      <x:c r="G5" s="48" t="n">
        <x:v>0.1</x:v>
      </x:c>
      <x:c r="H5" s="48" t="n">
        <x:v>20.7</x:v>
      </x:c>
      <x:c r="I5" s="49" t="n">
        <x:v>36</x:v>
      </x:c>
      <x:c r="J5" s="47" t="str">
        <x:v>USDA FDC / Taiwan FDA nutrition DB</x:v>
      </x:c>
      <x:c r="K5" s="47"/>
      <x:c r="L5" s="47" t="str">
        <x:v>https://fdc.nal.usda.gov/ ; https://www.fda.gov.tw/tc/siteList.aspx?sid=284 ; https://consumer.fda.gov.tw/Food/TFND.aspx?nodeID=178</x:v>
      </x:c>
    </x:row>
    <x:row r="6">
      <x:c r="A6" s="47" t="str">
        <x:v>ST005</x:v>
      </x:c>
      <x:c r="B6" s="47" t="str">
        <x:v>主食/澱粉</x:v>
      </x:c>
      <x:c r="C6" s="47" t="str">
        <x:v>馬鈴薯（蒸）</x:v>
      </x:c>
      <x:c r="D6" s="47" t="str">
        <x:v>熟/可食部</x:v>
      </x:c>
      <x:c r="E6" s="48" t="n">
        <x:v>87</x:v>
      </x:c>
      <x:c r="F6" s="48" t="n">
        <x:v>1.9</x:v>
      </x:c>
      <x:c r="G6" s="48" t="n">
        <x:v>0.1</x:v>
      </x:c>
      <x:c r="H6" s="48" t="n">
        <x:v>20.1</x:v>
      </x:c>
      <x:c r="I6" s="49" t="n">
        <x:v>6</x:v>
      </x:c>
      <x:c r="J6" s="47" t="str">
        <x:v>USDA FDC</x:v>
      </x:c>
      <x:c r="K6" s="47"/>
      <x:c r="L6" s="47" t="str">
        <x:v>https://fdc.nal.usda.gov/</x:v>
      </x:c>
    </x:row>
    <x:row r="7">
      <x:c r="A7" s="47" t="str">
        <x:v>ST006</x:v>
      </x:c>
      <x:c r="B7" s="47" t="str">
        <x:v>主食/澱粉</x:v>
      </x:c>
      <x:c r="C7" s="47" t="str">
        <x:v>玉米（熟）</x:v>
      </x:c>
      <x:c r="D7" s="47" t="str">
        <x:v>熟/可食部</x:v>
      </x:c>
      <x:c r="E7" s="48" t="n">
        <x:v>96</x:v>
      </x:c>
      <x:c r="F7" s="48" t="n">
        <x:v>3.4</x:v>
      </x:c>
      <x:c r="G7" s="48" t="n">
        <x:v>1.5</x:v>
      </x:c>
      <x:c r="H7" s="48" t="n">
        <x:v>21</x:v>
      </x:c>
      <x:c r="I7" s="49" t="n">
        <x:v>1</x:v>
      </x:c>
      <x:c r="J7" s="47" t="str">
        <x:v>USDA FDC</x:v>
      </x:c>
      <x:c r="K7" s="47"/>
      <x:c r="L7" s="47" t="str">
        <x:v>https://fdc.nal.usda.gov/</x:v>
      </x:c>
    </x:row>
    <x:row r="8">
      <x:c r="A8" s="47" t="str">
        <x:v>ST007</x:v>
      </x:c>
      <x:c r="B8" s="47" t="str">
        <x:v>主食/澱粉</x:v>
      </x:c>
      <x:c r="C8" s="47" t="str">
        <x:v>芋頭（蒸）</x:v>
      </x:c>
      <x:c r="D8" s="47" t="str">
        <x:v>熟/可食部</x:v>
      </x:c>
      <x:c r="E8" s="48" t="n">
        <x:v>112</x:v>
      </x:c>
      <x:c r="F8" s="48" t="n">
        <x:v>1.5</x:v>
      </x:c>
      <x:c r="G8" s="48" t="n">
        <x:v>0.2</x:v>
      </x:c>
      <x:c r="H8" s="48" t="n">
        <x:v>26.5</x:v>
      </x:c>
      <x:c r="I8" s="49" t="n">
        <x:v>11</x:v>
      </x:c>
      <x:c r="J8" s="47" t="str">
        <x:v>USDA FDC / Taiwan FDA nutrition DB</x:v>
      </x:c>
      <x:c r="K8" s="47"/>
      <x:c r="L8" s="47" t="str">
        <x:v>https://fdc.nal.usda.gov/ ; https://www.fda.gov.tw/tc/siteList.aspx?sid=284 ; https://consumer.fda.gov.tw/Food/TFND.aspx?nodeID=178</x:v>
      </x:c>
    </x:row>
    <x:row r="9">
      <x:c r="A9" s="47" t="str">
        <x:v>ST008</x:v>
      </x:c>
      <x:c r="B9" s="47" t="str">
        <x:v>主食/澱粉</x:v>
      </x:c>
      <x:c r="C9" s="47" t="str">
        <x:v>南瓜（蒸）</x:v>
      </x:c>
      <x:c r="D9" s="47" t="str">
        <x:v>熟/可食部</x:v>
      </x:c>
      <x:c r="E9" s="48" t="n">
        <x:v>34</x:v>
      </x:c>
      <x:c r="F9" s="48" t="n">
        <x:v>1</x:v>
      </x:c>
      <x:c r="G9" s="48" t="n">
        <x:v>0.1</x:v>
      </x:c>
      <x:c r="H9" s="48" t="n">
        <x:v>8.5</x:v>
      </x:c>
      <x:c r="I9" s="49" t="n">
        <x:v>1</x:v>
      </x:c>
      <x:c r="J9" s="47" t="str">
        <x:v>USDA FDC / Taiwan FDA nutrition DB</x:v>
      </x:c>
      <x:c r="K9" s="47"/>
      <x:c r="L9" s="47" t="str">
        <x:v>https://fdc.nal.usda.gov/ ; https://www.fda.gov.tw/tc/siteList.aspx?sid=284 ; https://consumer.fda.gov.tw/Food/TFND.aspx?nodeID=178</x:v>
      </x:c>
    </x:row>
    <x:row r="10">
      <x:c r="A10" s="47" t="str">
        <x:v>ST009</x:v>
      </x:c>
      <x:c r="B10" s="47" t="str">
        <x:v>主食/澱粉</x:v>
      </x:c>
      <x:c r="C10" s="47" t="str">
        <x:v>藜麥（熟）</x:v>
      </x:c>
      <x:c r="D10" s="47" t="str">
        <x:v>熟/可食部</x:v>
      </x:c>
      <x:c r="E10" s="48" t="n">
        <x:v>120</x:v>
      </x:c>
      <x:c r="F10" s="48" t="n">
        <x:v>4.4</x:v>
      </x:c>
      <x:c r="G10" s="48" t="n">
        <x:v>1.9</x:v>
      </x:c>
      <x:c r="H10" s="48" t="n">
        <x:v>21.3</x:v>
      </x:c>
      <x:c r="I10" s="49" t="n">
        <x:v>7</x:v>
      </x:c>
      <x:c r="J10" s="47" t="str">
        <x:v>USDA FDC</x:v>
      </x:c>
      <x:c r="K10" s="47"/>
      <x:c r="L10" s="47" t="str">
        <x:v>https://fdc.nal.usda.gov/</x:v>
      </x:c>
    </x:row>
    <x:row r="11">
      <x:c r="A11" s="47" t="str">
        <x:v>ST010</x:v>
      </x:c>
      <x:c r="B11" s="47" t="str">
        <x:v>主食/澱粉</x:v>
      </x:c>
      <x:c r="C11" s="47" t="str">
        <x:v>白米（生）</x:v>
      </x:c>
      <x:c r="D11" s="47" t="str">
        <x:v>生/乾重</x:v>
      </x:c>
      <x:c r="E11" s="48" t="n">
        <x:v>365</x:v>
      </x:c>
      <x:c r="F11" s="48" t="n">
        <x:v>7.1</x:v>
      </x:c>
      <x:c r="G11" s="48" t="n">
        <x:v>0.7</x:v>
      </x:c>
      <x:c r="H11" s="48" t="n">
        <x:v>80</x:v>
      </x:c>
      <x:c r="I11" s="49" t="n">
        <x:v>5</x:v>
      </x:c>
      <x:c r="J11" s="47" t="str">
        <x:v>USDA FDC</x:v>
      </x:c>
      <x:c r="K11" s="47" t="str">
        <x:v>工程/營養師用；一般用戶不建議用生重</x:v>
      </x:c>
      <x:c r="L11" s="47" t="str">
        <x:v>https://fdc.nal.usda.gov/</x:v>
      </x:c>
    </x:row>
    <x:row r="12">
      <x:c r="A12" s="47" t="str">
        <x:v>ST011</x:v>
      </x:c>
      <x:c r="B12" s="47" t="str">
        <x:v>主食/澱粉</x:v>
      </x:c>
      <x:c r="C12" s="47" t="str">
        <x:v>糙米（生）</x:v>
      </x:c>
      <x:c r="D12" s="47" t="str">
        <x:v>生/乾重</x:v>
      </x:c>
      <x:c r="E12" s="48" t="n">
        <x:v>370</x:v>
      </x:c>
      <x:c r="F12" s="48" t="n">
        <x:v>7.9</x:v>
      </x:c>
      <x:c r="G12" s="48" t="n">
        <x:v>2.9</x:v>
      </x:c>
      <x:c r="H12" s="48" t="n">
        <x:v>77.2</x:v>
      </x:c>
      <x:c r="I12" s="49" t="n">
        <x:v>7</x:v>
      </x:c>
      <x:c r="J12" s="47" t="str">
        <x:v>USDA FDC</x:v>
      </x:c>
      <x:c r="K12" s="47" t="str">
        <x:v>工程/營養師用；一般用戶不建議用生重</x:v>
      </x:c>
      <x:c r="L12" s="47" t="str">
        <x:v>https://fdc.nal.usda.gov/</x:v>
      </x:c>
    </x:row>
    <x:row r="13">
      <x:c r="A13" s="47" t="str">
        <x:v>ST012</x:v>
      </x:c>
      <x:c r="B13" s="47" t="str">
        <x:v>主食/澱粉</x:v>
      </x:c>
      <x:c r="C13" s="47" t="str">
        <x:v>麵條（熟）</x:v>
      </x:c>
      <x:c r="D13" s="47" t="str">
        <x:v>熟/可食部</x:v>
      </x:c>
      <x:c r="E13" s="48" t="n">
        <x:v>138</x:v>
      </x:c>
      <x:c r="F13" s="48" t="n">
        <x:v>4.5</x:v>
      </x:c>
      <x:c r="G13" s="48" t="n">
        <x:v>2.1</x:v>
      </x:c>
      <x:c r="H13" s="48" t="n">
        <x:v>25</x:v>
      </x:c>
      <x:c r="I13" s="49" t="n">
        <x:v>5</x:v>
      </x:c>
      <x:c r="J13" s="47" t="str">
        <x:v>USDA FDC</x:v>
      </x:c>
      <x:c r="K13" s="47" t="str">
        <x:v>清麵條；若有油/醬另加</x:v>
      </x:c>
      <x:c r="L13" s="47" t="str">
        <x:v>https://fdc.nal.usda.gov/</x:v>
      </x:c>
    </x:row>
    <x:row r="14">
      <x:c r="A14" s="47" t="str">
        <x:v>ST013</x:v>
      </x:c>
      <x:c r="B14" s="47" t="str">
        <x:v>主食/澱粉</x:v>
      </x:c>
      <x:c r="C14" s="47" t="str">
        <x:v>義大利麵（熟）</x:v>
      </x:c>
      <x:c r="D14" s="47" t="str">
        <x:v>熟/可食部</x:v>
      </x:c>
      <x:c r="E14" s="48" t="n">
        <x:v>158</x:v>
      </x:c>
      <x:c r="F14" s="48" t="n">
        <x:v>5.8</x:v>
      </x:c>
      <x:c r="G14" s="48" t="n">
        <x:v>0.9</x:v>
      </x:c>
      <x:c r="H14" s="48" t="n">
        <x:v>30.9</x:v>
      </x:c>
      <x:c r="I14" s="49" t="n">
        <x:v>1</x:v>
      </x:c>
      <x:c r="J14" s="47" t="str">
        <x:v>USDA FDC</x:v>
      </x:c>
      <x:c r="K14" s="47" t="str">
        <x:v>清水煮，未加醬</x:v>
      </x:c>
      <x:c r="L14" s="47" t="str">
        <x:v>https://fdc.nal.usda.gov/</x:v>
      </x:c>
    </x:row>
    <x:row r="15">
      <x:c r="A15" s="47" t="str">
        <x:v>ST014</x:v>
      </x:c>
      <x:c r="B15" s="47" t="str">
        <x:v>主食/澱粉</x:v>
      </x:c>
      <x:c r="C15" s="47" t="str">
        <x:v>冬粉（熟）</x:v>
      </x:c>
      <x:c r="D15" s="47" t="str">
        <x:v>熟/可食部</x:v>
      </x:c>
      <x:c r="E15" s="48" t="n">
        <x:v>80</x:v>
      </x:c>
      <x:c r="F15" s="48" t="n">
        <x:v>0.1</x:v>
      </x:c>
      <x:c r="G15" s="48" t="n">
        <x:v>0</x:v>
      </x:c>
      <x:c r="H15" s="48" t="n">
        <x:v>20</x:v>
      </x:c>
      <x:c r="I15" s="49" t="n">
        <x:v>5</x:v>
      </x:c>
      <x:c r="J15" s="47" t="str">
        <x:v>Taiwan FDA nutrition DB / estimate</x:v>
      </x:c>
      <x:c r="K15" s="47" t="str">
        <x:v>品牌差異大，建議後續拆品牌</x:v>
      </x:c>
      <x:c r="L15" s="47" t="str">
        <x:v>https://www.fda.gov.tw/tc/siteList.aspx?sid=284 ; https://consumer.fda.gov.tw/Food/TFND.aspx?nodeID=178</x:v>
      </x:c>
    </x:row>
    <x:row r="16">
      <x:c r="A16" s="47" t="str">
        <x:v>ST015</x:v>
      </x:c>
      <x:c r="B16" s="47" t="str">
        <x:v>主食/澱粉</x:v>
      </x:c>
      <x:c r="C16" s="47" t="str">
        <x:v>山藥（熟）</x:v>
      </x:c>
      <x:c r="D16" s="47" t="str">
        <x:v>熟/可食部</x:v>
      </x:c>
      <x:c r="E16" s="48" t="n">
        <x:v>118</x:v>
      </x:c>
      <x:c r="F16" s="48" t="n">
        <x:v>1.5</x:v>
      </x:c>
      <x:c r="G16" s="48" t="n">
        <x:v>0.2</x:v>
      </x:c>
      <x:c r="H16" s="48" t="n">
        <x:v>27.9</x:v>
      </x:c>
      <x:c r="I16" s="49" t="n">
        <x:v>9</x:v>
      </x:c>
      <x:c r="J16" s="47" t="str">
        <x:v>USDA FDC / Taiwan FDA nutrition DB</x:v>
      </x:c>
      <x:c r="K16" s="47"/>
      <x:c r="L16" s="47" t="str">
        <x:v>https://fdc.nal.usda.gov/ ; https://www.fda.gov.tw/tc/siteList.aspx?sid=284 ; https://consumer.fda.gov.tw/Food/TFND.aspx?nodeID=178</x:v>
      </x:c>
    </x:row>
    <x:row r="17">
      <x:c r="A17" s="47" t="str">
        <x:v>ME001</x:v>
      </x:c>
      <x:c r="B17" s="47" t="str">
        <x:v>肉類/蛋白質</x:v>
      </x:c>
      <x:c r="C17" s="47" t="str">
        <x:v>雞胸肉（熟去皮）</x:v>
      </x:c>
      <x:c r="D17" s="47" t="str">
        <x:v>熟/可食部</x:v>
      </x:c>
      <x:c r="E17" s="48" t="n">
        <x:v>165</x:v>
      </x:c>
      <x:c r="F17" s="48" t="n">
        <x:v>31</x:v>
      </x:c>
      <x:c r="G17" s="48" t="n">
        <x:v>3.6</x:v>
      </x:c>
      <x:c r="H17" s="48" t="n">
        <x:v>0</x:v>
      </x:c>
      <x:c r="I17" s="49" t="n">
        <x:v>74</x:v>
      </x:c>
      <x:c r="J17" s="47" t="str">
        <x:v>USDA FDC / Taiwan FDA nutrition DB</x:v>
      </x:c>
      <x:c r="K17" s="47" t="str">
        <x:v>健身餐主力，可作預設雞胸</x:v>
      </x:c>
      <x:c r="L17" s="47" t="str">
        <x:v>https://fdc.nal.usda.gov/ ; https://www.fda.gov.tw/tc/siteList.aspx?sid=284 ; https://consumer.fda.gov.tw/Food/TFND.aspx?nodeID=178</x:v>
      </x:c>
    </x:row>
    <x:row r="18">
      <x:c r="A18" s="47" t="str">
        <x:v>ME002</x:v>
      </x:c>
      <x:c r="B18" s="47" t="str">
        <x:v>肉類/蛋白質</x:v>
      </x:c>
      <x:c r="C18" s="47" t="str">
        <x:v>雞腿肉（熟去皮）</x:v>
      </x:c>
      <x:c r="D18" s="47" t="str">
        <x:v>熟/可食部</x:v>
      </x:c>
      <x:c r="E18" s="48" t="n">
        <x:v>209</x:v>
      </x:c>
      <x:c r="F18" s="48" t="n">
        <x:v>26</x:v>
      </x:c>
      <x:c r="G18" s="48" t="n">
        <x:v>10.9</x:v>
      </x:c>
      <x:c r="H18" s="48" t="n">
        <x:v>0</x:v>
      </x:c>
      <x:c r="I18" s="49" t="n">
        <x:v>82</x:v>
      </x:c>
      <x:c r="J18" s="47" t="str">
        <x:v>USDA FDC</x:v>
      </x:c>
      <x:c r="K18" s="47"/>
      <x:c r="L18" s="47" t="str">
        <x:v>https://fdc.nal.usda.gov/</x:v>
      </x:c>
    </x:row>
    <x:row r="19">
      <x:c r="A19" s="47" t="str">
        <x:v>ME003</x:v>
      </x:c>
      <x:c r="B19" s="47" t="str">
        <x:v>肉類/蛋白質</x:v>
      </x:c>
      <x:c r="C19" s="47" t="str">
        <x:v>雞翅（熟）</x:v>
      </x:c>
      <x:c r="D19" s="47" t="str">
        <x:v>熟/可食部</x:v>
      </x:c>
      <x:c r="E19" s="48" t="n">
        <x:v>254</x:v>
      </x:c>
      <x:c r="F19" s="48" t="n">
        <x:v>23.8</x:v>
      </x:c>
      <x:c r="G19" s="48" t="n">
        <x:v>16.9</x:v>
      </x:c>
      <x:c r="H19" s="48" t="n">
        <x:v>0</x:v>
      </x:c>
      <x:c r="I19" s="49" t="n">
        <x:v>87</x:v>
      </x:c>
      <x:c r="J19" s="47" t="str">
        <x:v>USDA FDC</x:v>
      </x:c>
      <x:c r="K19" s="47" t="str">
        <x:v>含皮版本偏高脂</x:v>
      </x:c>
      <x:c r="L19" s="47" t="str">
        <x:v>https://fdc.nal.usda.gov/</x:v>
      </x:c>
    </x:row>
    <x:row r="20">
      <x:c r="A20" s="47" t="str">
        <x:v>ME004</x:v>
      </x:c>
      <x:c r="B20" s="47" t="str">
        <x:v>肉類/蛋白質</x:v>
      </x:c>
      <x:c r="C20" s="47" t="str">
        <x:v>豬里肌（熟）</x:v>
      </x:c>
      <x:c r="D20" s="47" t="str">
        <x:v>熟/可食部</x:v>
      </x:c>
      <x:c r="E20" s="48" t="n">
        <x:v>196</x:v>
      </x:c>
      <x:c r="F20" s="48" t="n">
        <x:v>29.3</x:v>
      </x:c>
      <x:c r="G20" s="48" t="n">
        <x:v>7.1</x:v>
      </x:c>
      <x:c r="H20" s="48" t="n">
        <x:v>0</x:v>
      </x:c>
      <x:c r="I20" s="49" t="n">
        <x:v>63</x:v>
      </x:c>
      <x:c r="J20" s="47" t="str">
        <x:v>USDA FDC / Taiwan FDA nutrition DB</x:v>
      </x:c>
      <x:c r="K20" s="47"/>
      <x:c r="L20" s="47" t="str">
        <x:v>https://fdc.nal.usda.gov/ ; https://www.fda.gov.tw/tc/siteList.aspx?sid=284 ; https://consumer.fda.gov.tw/Food/TFND.aspx?nodeID=178</x:v>
      </x:c>
    </x:row>
    <x:row r="21">
      <x:c r="A21" s="47" t="str">
        <x:v>ME005</x:v>
      </x:c>
      <x:c r="B21" s="47" t="str">
        <x:v>肉類/蛋白質</x:v>
      </x:c>
      <x:c r="C21" s="47" t="str">
        <x:v>豬梅花肉（熟）</x:v>
      </x:c>
      <x:c r="D21" s="47" t="str">
        <x:v>熟/可食部</x:v>
      </x:c>
      <x:c r="E21" s="48" t="n">
        <x:v>291</x:v>
      </x:c>
      <x:c r="F21" s="48" t="n">
        <x:v>27</x:v>
      </x:c>
      <x:c r="G21" s="48" t="n">
        <x:v>18</x:v>
      </x:c>
      <x:c r="H21" s="48" t="n">
        <x:v>0</x:v>
      </x:c>
      <x:c r="I21" s="49" t="n">
        <x:v>64</x:v>
      </x:c>
      <x:c r="J21" s="47" t="str">
        <x:v>USDA FDC / estimate</x:v>
      </x:c>
      <x:c r="K21" s="47" t="str">
        <x:v>脂肪波動很大</x:v>
      </x:c>
      <x:c r="L21" s="47" t="str">
        <x:v>https://fdc.nal.usda.gov/</x:v>
      </x:c>
    </x:row>
    <x:row r="22">
      <x:c r="A22" s="47" t="str">
        <x:v>ME006</x:v>
      </x:c>
      <x:c r="B22" s="47" t="str">
        <x:v>肉類/蛋白質</x:v>
      </x:c>
      <x:c r="C22" s="47" t="str">
        <x:v>豬五花肉（熟）</x:v>
      </x:c>
      <x:c r="D22" s="47" t="str">
        <x:v>熟/可食部</x:v>
      </x:c>
      <x:c r="E22" s="48" t="n">
        <x:v>518</x:v>
      </x:c>
      <x:c r="F22" s="48" t="n">
        <x:v>9.3</x:v>
      </x:c>
      <x:c r="G22" s="48" t="n">
        <x:v>53</x:v>
      </x:c>
      <x:c r="H22" s="48" t="n">
        <x:v>0</x:v>
      </x:c>
      <x:c r="I22" s="49" t="n">
        <x:v>32</x:v>
      </x:c>
      <x:c r="J22" s="47" t="str">
        <x:v>USDA FDC / Taiwan FDA nutrition DB</x:v>
      </x:c>
      <x:c r="K22" s="47" t="str">
        <x:v>高脂，厚薄差異很大</x:v>
      </x:c>
      <x:c r="L22" s="47" t="str">
        <x:v>https://fdc.nal.usda.gov/ ; https://www.fda.gov.tw/tc/siteList.aspx?sid=284 ; https://consumer.fda.gov.tw/Food/TFND.aspx?nodeID=178</x:v>
      </x:c>
    </x:row>
    <x:row r="23">
      <x:c r="A23" s="47" t="str">
        <x:v>ME007</x:v>
      </x:c>
      <x:c r="B23" s="47" t="str">
        <x:v>肉類/蛋白質</x:v>
      </x:c>
      <x:c r="C23" s="47" t="str">
        <x:v>牛腱（熟）</x:v>
      </x:c>
      <x:c r="D23" s="47" t="str">
        <x:v>熟/可食部</x:v>
      </x:c>
      <x:c r="E23" s="48" t="n">
        <x:v>192</x:v>
      </x:c>
      <x:c r="F23" s="48" t="n">
        <x:v>30.7</x:v>
      </x:c>
      <x:c r="G23" s="48" t="n">
        <x:v>6.2</x:v>
      </x:c>
      <x:c r="H23" s="48" t="n">
        <x:v>0</x:v>
      </x:c>
      <x:c r="I23" s="49" t="n">
        <x:v>65</x:v>
      </x:c>
      <x:c r="J23" s="47" t="str">
        <x:v>USDA FDC / Taiwan FDA nutrition DB</x:v>
      </x:c>
      <x:c r="K23" s="47"/>
      <x:c r="L23" s="47" t="str">
        <x:v>https://fdc.nal.usda.gov/ ; https://www.fda.gov.tw/tc/siteList.aspx?sid=284 ; https://consumer.fda.gov.tw/Food/TFND.aspx?nodeID=178</x:v>
      </x:c>
    </x:row>
    <x:row r="24">
      <x:c r="A24" s="47" t="str">
        <x:v>ME008</x:v>
      </x:c>
      <x:c r="B24" s="47" t="str">
        <x:v>肉類/蛋白質</x:v>
      </x:c>
      <x:c r="C24" s="47" t="str">
        <x:v>牛里肌（熟）</x:v>
      </x:c>
      <x:c r="D24" s="47" t="str">
        <x:v>熟/可食部</x:v>
      </x:c>
      <x:c r="E24" s="48" t="n">
        <x:v>217</x:v>
      </x:c>
      <x:c r="F24" s="48" t="n">
        <x:v>26.1</x:v>
      </x:c>
      <x:c r="G24" s="48" t="n">
        <x:v>10.8</x:v>
      </x:c>
      <x:c r="H24" s="48" t="n">
        <x:v>0</x:v>
      </x:c>
      <x:c r="I24" s="49" t="n">
        <x:v>57</x:v>
      </x:c>
      <x:c r="J24" s="47" t="str">
        <x:v>USDA FDC</x:v>
      </x:c>
      <x:c r="K24" s="47"/>
      <x:c r="L24" s="47" t="str">
        <x:v>https://fdc.nal.usda.gov/</x:v>
      </x:c>
    </x:row>
    <x:row r="25">
      <x:c r="A25" s="47" t="str">
        <x:v>ME009</x:v>
      </x:c>
      <x:c r="B25" s="47" t="str">
        <x:v>肉類/蛋白質</x:v>
      </x:c>
      <x:c r="C25" s="47" t="str">
        <x:v>牛絞肉85%瘦（熟）</x:v>
      </x:c>
      <x:c r="D25" s="47" t="str">
        <x:v>熟/可食部</x:v>
      </x:c>
      <x:c r="E25" s="48" t="n">
        <x:v>250</x:v>
      </x:c>
      <x:c r="F25" s="48" t="n">
        <x:v>26</x:v>
      </x:c>
      <x:c r="G25" s="48" t="n">
        <x:v>15</x:v>
      </x:c>
      <x:c r="H25" s="48" t="n">
        <x:v>0</x:v>
      </x:c>
      <x:c r="I25" s="49" t="n">
        <x:v>72</x:v>
      </x:c>
      <x:c r="J25" s="47" t="str">
        <x:v>USDA FDC</x:v>
      </x:c>
      <x:c r="K25" s="47" t="str">
        <x:v>漢堡排需另加油/醬/麵包粉</x:v>
      </x:c>
      <x:c r="L25" s="47" t="str">
        <x:v>https://fdc.nal.usda.gov/</x:v>
      </x:c>
    </x:row>
    <x:row r="26">
      <x:c r="A26" s="47" t="str">
        <x:v>ME010</x:v>
      </x:c>
      <x:c r="B26" s="47" t="str">
        <x:v>肉類/蛋白質</x:v>
      </x:c>
      <x:c r="C26" s="47" t="str">
        <x:v>羊腿瘦肉（熟）</x:v>
      </x:c>
      <x:c r="D26" s="47" t="str">
        <x:v>熟/可食部</x:v>
      </x:c>
      <x:c r="E26" s="48" t="n">
        <x:v>206</x:v>
      </x:c>
      <x:c r="F26" s="48" t="n">
        <x:v>28.2</x:v>
      </x:c>
      <x:c r="G26" s="48" t="n">
        <x:v>9.2</x:v>
      </x:c>
      <x:c r="H26" s="48" t="n">
        <x:v>0</x:v>
      </x:c>
      <x:c r="I26" s="49" t="n">
        <x:v>65</x:v>
      </x:c>
      <x:c r="J26" s="47" t="str">
        <x:v>USDA FDC</x:v>
      </x:c>
      <x:c r="K26" s="47"/>
      <x:c r="L26" s="47" t="str">
        <x:v>https://fdc.nal.usda.gov/</x:v>
      </x:c>
    </x:row>
    <x:row r="27">
      <x:c r="A27" s="47" t="str">
        <x:v>ME011</x:v>
      </x:c>
      <x:c r="B27" s="47" t="str">
        <x:v>肉類/蛋白質</x:v>
      </x:c>
      <x:c r="C27" s="47" t="str">
        <x:v>鴨胸（熟去皮）</x:v>
      </x:c>
      <x:c r="D27" s="47" t="str">
        <x:v>熟/可食部</x:v>
      </x:c>
      <x:c r="E27" s="48" t="n">
        <x:v>201</x:v>
      </x:c>
      <x:c r="F27" s="48" t="n">
        <x:v>23.5</x:v>
      </x:c>
      <x:c r="G27" s="48" t="n">
        <x:v>11.2</x:v>
      </x:c>
      <x:c r="H27" s="48" t="n">
        <x:v>0</x:v>
      </x:c>
      <x:c r="I27" s="49" t="n">
        <x:v>74</x:v>
      </x:c>
      <x:c r="J27" s="47" t="str">
        <x:v>USDA FDC / estimate</x:v>
      </x:c>
      <x:c r="K27" s="47"/>
      <x:c r="L27" s="47" t="str">
        <x:v>https://fdc.nal.usda.gov/</x:v>
      </x:c>
    </x:row>
    <x:row r="28">
      <x:c r="A28" s="47" t="str">
        <x:v>ME012</x:v>
      </x:c>
      <x:c r="B28" s="47" t="str">
        <x:v>蛋類</x:v>
      </x:c>
      <x:c r="C28" s="47" t="str">
        <x:v>雞蛋（全蛋）</x:v>
      </x:c>
      <x:c r="D28" s="47" t="str">
        <x:v>生/可食部</x:v>
      </x:c>
      <x:c r="E28" s="48" t="n">
        <x:v>143</x:v>
      </x:c>
      <x:c r="F28" s="48" t="n">
        <x:v>12.6</x:v>
      </x:c>
      <x:c r="G28" s="48" t="n">
        <x:v>9.5</x:v>
      </x:c>
      <x:c r="H28" s="48" t="n">
        <x:v>0.7</x:v>
      </x:c>
      <x:c r="I28" s="49" t="n">
        <x:v>142</x:v>
      </x:c>
      <x:c r="J28" s="47" t="str">
        <x:v>USDA FDC / Taiwan FDA nutrition DB</x:v>
      </x:c>
      <x:c r="K28" s="47" t="str">
        <x:v>一顆大約 50g</x:v>
      </x:c>
      <x:c r="L28" s="47" t="str">
        <x:v>https://fdc.nal.usda.gov/ ; https://www.fda.gov.tw/tc/siteList.aspx?sid=284 ; https://consumer.fda.gov.tw/Food/TFND.aspx?nodeID=178</x:v>
      </x:c>
    </x:row>
    <x:row r="29">
      <x:c r="A29" s="47" t="str">
        <x:v>ME013</x:v>
      </x:c>
      <x:c r="B29" s="47" t="str">
        <x:v>蛋類</x:v>
      </x:c>
      <x:c r="C29" s="47" t="str">
        <x:v>蛋白</x:v>
      </x:c>
      <x:c r="D29" s="47" t="str">
        <x:v>生/可食部</x:v>
      </x:c>
      <x:c r="E29" s="48" t="n">
        <x:v>52</x:v>
      </x:c>
      <x:c r="F29" s="48" t="n">
        <x:v>10.9</x:v>
      </x:c>
      <x:c r="G29" s="48" t="n">
        <x:v>0.2</x:v>
      </x:c>
      <x:c r="H29" s="48" t="n">
        <x:v>0.7</x:v>
      </x:c>
      <x:c r="I29" s="49" t="n">
        <x:v>166</x:v>
      </x:c>
      <x:c r="J29" s="47" t="str">
        <x:v>USDA FDC</x:v>
      </x:c>
      <x:c r="K29" s="47"/>
      <x:c r="L29" s="47" t="str">
        <x:v>https://fdc.nal.usda.gov/</x:v>
      </x:c>
    </x:row>
    <x:row r="30">
      <x:c r="A30" s="47" t="str">
        <x:v>ME014</x:v>
      </x:c>
      <x:c r="B30" s="47" t="str">
        <x:v>蛋類</x:v>
      </x:c>
      <x:c r="C30" s="47" t="str">
        <x:v>蛋黃</x:v>
      </x:c>
      <x:c r="D30" s="47" t="str">
        <x:v>生/可食部</x:v>
      </x:c>
      <x:c r="E30" s="48" t="n">
        <x:v>322</x:v>
      </x:c>
      <x:c r="F30" s="48" t="n">
        <x:v>15.9</x:v>
      </x:c>
      <x:c r="G30" s="48" t="n">
        <x:v>26.5</x:v>
      </x:c>
      <x:c r="H30" s="48" t="n">
        <x:v>3.6</x:v>
      </x:c>
      <x:c r="I30" s="49" t="n">
        <x:v>48</x:v>
      </x:c>
      <x:c r="J30" s="47" t="str">
        <x:v>USDA FDC</x:v>
      </x:c>
      <x:c r="K30" s="47"/>
      <x:c r="L30" s="47" t="str">
        <x:v>https://fdc.nal.usda.gov/</x:v>
      </x:c>
    </x:row>
    <x:row r="31">
      <x:c r="A31" s="47" t="str">
        <x:v>SF001</x:v>
      </x:c>
      <x:c r="B31" s="47" t="str">
        <x:v>海鮮/魚類</x:v>
      </x:c>
      <x:c r="C31" s="47" t="str">
        <x:v>鮭魚（熟）</x:v>
      </x:c>
      <x:c r="D31" s="47" t="str">
        <x:v>熟/可食部</x:v>
      </x:c>
      <x:c r="E31" s="48" t="n">
        <x:v>206</x:v>
      </x:c>
      <x:c r="F31" s="48" t="n">
        <x:v>22.1</x:v>
      </x:c>
      <x:c r="G31" s="48" t="n">
        <x:v>12.4</x:v>
      </x:c>
      <x:c r="H31" s="48" t="n">
        <x:v>0</x:v>
      </x:c>
      <x:c r="I31" s="49" t="n">
        <x:v>59</x:v>
      </x:c>
      <x:c r="J31" s="47" t="str">
        <x:v>USDA FDC / Taiwan FDA nutrition DB</x:v>
      </x:c>
      <x:c r="K31" s="47"/>
      <x:c r="L31" s="47" t="str">
        <x:v>https://fdc.nal.usda.gov/ ; https://www.fda.gov.tw/tc/siteList.aspx?sid=284 ; https://consumer.fda.gov.tw/Food/TFND.aspx?nodeID=178</x:v>
      </x:c>
    </x:row>
    <x:row r="32">
      <x:c r="A32" s="47" t="str">
        <x:v>SF002</x:v>
      </x:c>
      <x:c r="B32" s="47" t="str">
        <x:v>海鮮/魚類</x:v>
      </x:c>
      <x:c r="C32" s="47" t="str">
        <x:v>鯖魚（熟）</x:v>
      </x:c>
      <x:c r="D32" s="47" t="str">
        <x:v>熟/可食部</x:v>
      </x:c>
      <x:c r="E32" s="48" t="n">
        <x:v>262</x:v>
      </x:c>
      <x:c r="F32" s="48" t="n">
        <x:v>23.9</x:v>
      </x:c>
      <x:c r="G32" s="48" t="n">
        <x:v>17.8</x:v>
      </x:c>
      <x:c r="H32" s="48" t="n">
        <x:v>0</x:v>
      </x:c>
      <x:c r="I32" s="49" t="n">
        <x:v>83</x:v>
      </x:c>
      <x:c r="J32" s="47" t="str">
        <x:v>USDA FDC / Taiwan FDA nutrition DB</x:v>
      </x:c>
      <x:c r="K32" s="47"/>
      <x:c r="L32" s="47" t="str">
        <x:v>https://fdc.nal.usda.gov/ ; https://www.fda.gov.tw/tc/siteList.aspx?sid=284 ; https://consumer.fda.gov.tw/Food/TFND.aspx?nodeID=178</x:v>
      </x:c>
    </x:row>
    <x:row r="33">
      <x:c r="A33" s="47" t="str">
        <x:v>SF003</x:v>
      </x:c>
      <x:c r="B33" s="47" t="str">
        <x:v>海鮮/魚類</x:v>
      </x:c>
      <x:c r="C33" s="47" t="str">
        <x:v>鮪魚（熟）</x:v>
      </x:c>
      <x:c r="D33" s="47" t="str">
        <x:v>熟/可食部</x:v>
      </x:c>
      <x:c r="E33" s="48" t="n">
        <x:v>132</x:v>
      </x:c>
      <x:c r="F33" s="48" t="n">
        <x:v>29.9</x:v>
      </x:c>
      <x:c r="G33" s="48" t="n">
        <x:v>1.3</x:v>
      </x:c>
      <x:c r="H33" s="48" t="n">
        <x:v>0</x:v>
      </x:c>
      <x:c r="I33" s="49" t="n">
        <x:v>47</x:v>
      </x:c>
      <x:c r="J33" s="47" t="str">
        <x:v>USDA FDC</x:v>
      </x:c>
      <x:c r="K33" s="47"/>
      <x:c r="L33" s="47" t="str">
        <x:v>https://fdc.nal.usda.gov/</x:v>
      </x:c>
    </x:row>
    <x:row r="34">
      <x:c r="A34" s="47" t="str">
        <x:v>SF004</x:v>
      </x:c>
      <x:c r="B34" s="47" t="str">
        <x:v>海鮮/魚類</x:v>
      </x:c>
      <x:c r="C34" s="47" t="str">
        <x:v>鱈魚（熟）</x:v>
      </x:c>
      <x:c r="D34" s="47" t="str">
        <x:v>熟/可食部</x:v>
      </x:c>
      <x:c r="E34" s="48" t="n">
        <x:v>105</x:v>
      </x:c>
      <x:c r="F34" s="48" t="n">
        <x:v>22.8</x:v>
      </x:c>
      <x:c r="G34" s="48" t="n">
        <x:v>0.9</x:v>
      </x:c>
      <x:c r="H34" s="48" t="n">
        <x:v>0</x:v>
      </x:c>
      <x:c r="I34" s="49" t="n">
        <x:v>54</x:v>
      </x:c>
      <x:c r="J34" s="47" t="str">
        <x:v>USDA FDC</x:v>
      </x:c>
      <x:c r="K34" s="47"/>
      <x:c r="L34" s="47" t="str">
        <x:v>https://fdc.nal.usda.gov/</x:v>
      </x:c>
    </x:row>
    <x:row r="35">
      <x:c r="A35" s="47" t="str">
        <x:v>SF005</x:v>
      </x:c>
      <x:c r="B35" s="47" t="str">
        <x:v>海鮮/魚類</x:v>
      </x:c>
      <x:c r="C35" s="47" t="str">
        <x:v>鯛魚（熟）</x:v>
      </x:c>
      <x:c r="D35" s="47" t="str">
        <x:v>熟/可食部</x:v>
      </x:c>
      <x:c r="E35" s="48" t="n">
        <x:v>128</x:v>
      </x:c>
      <x:c r="F35" s="48" t="n">
        <x:v>26.2</x:v>
      </x:c>
      <x:c r="G35" s="48" t="n">
        <x:v>2.6</x:v>
      </x:c>
      <x:c r="H35" s="48" t="n">
        <x:v>0</x:v>
      </x:c>
      <x:c r="I35" s="49" t="n">
        <x:v>56</x:v>
      </x:c>
      <x:c r="J35" s="47" t="str">
        <x:v>USDA FDC / estimate</x:v>
      </x:c>
      <x:c r="K35" s="47"/>
      <x:c r="L35" s="47" t="str">
        <x:v>https://fdc.nal.usda.gov/</x:v>
      </x:c>
    </x:row>
    <x:row r="36">
      <x:c r="A36" s="47" t="str">
        <x:v>SF006</x:v>
      </x:c>
      <x:c r="B36" s="47" t="str">
        <x:v>海鮮/魚類</x:v>
      </x:c>
      <x:c r="C36" s="47" t="str">
        <x:v>虱目魚（熟）</x:v>
      </x:c>
      <x:c r="D36" s="47" t="str">
        <x:v>熟/可食部</x:v>
      </x:c>
      <x:c r="E36" s="48" t="n">
        <x:v>190</x:v>
      </x:c>
      <x:c r="F36" s="48" t="n">
        <x:v>22</x:v>
      </x:c>
      <x:c r="G36" s="48" t="n">
        <x:v>11</x:v>
      </x:c>
      <x:c r="H36" s="48" t="n">
        <x:v>0</x:v>
      </x:c>
      <x:c r="I36" s="49" t="n">
        <x:v>90</x:v>
      </x:c>
      <x:c r="J36" s="47" t="str">
        <x:v>Taiwan FDA nutrition DB / estimate</x:v>
      </x:c>
      <x:c r="K36" s="47" t="str">
        <x:v>脂肪部位差異大</x:v>
      </x:c>
      <x:c r="L36" s="47" t="str">
        <x:v>https://www.fda.gov.tw/tc/siteList.aspx?sid=284 ; https://consumer.fda.gov.tw/Food/TFND.aspx?nodeID=178</x:v>
      </x:c>
    </x:row>
    <x:row r="37">
      <x:c r="A37" s="47" t="str">
        <x:v>SF007</x:v>
      </x:c>
      <x:c r="B37" s="47" t="str">
        <x:v>海鮮/魚類</x:v>
      </x:c>
      <x:c r="C37" s="47" t="str">
        <x:v>蝦仁（熟）</x:v>
      </x:c>
      <x:c r="D37" s="47" t="str">
        <x:v>熟/可食部</x:v>
      </x:c>
      <x:c r="E37" s="48" t="n">
        <x:v>99</x:v>
      </x:c>
      <x:c r="F37" s="48" t="n">
        <x:v>24</x:v>
      </x:c>
      <x:c r="G37" s="48" t="n">
        <x:v>0.3</x:v>
      </x:c>
      <x:c r="H37" s="48" t="n">
        <x:v>0.2</x:v>
      </x:c>
      <x:c r="I37" s="49" t="n">
        <x:v>111</x:v>
      </x:c>
      <x:c r="J37" s="47" t="str">
        <x:v>USDA FDC</x:v>
      </x:c>
      <x:c r="K37" s="47"/>
      <x:c r="L37" s="47" t="str">
        <x:v>https://fdc.nal.usda.gov/</x:v>
      </x:c>
    </x:row>
    <x:row r="38">
      <x:c r="A38" s="47" t="str">
        <x:v>SF008</x:v>
      </x:c>
      <x:c r="B38" s="47" t="str">
        <x:v>海鮮/魚類</x:v>
      </x:c>
      <x:c r="C38" s="47" t="str">
        <x:v>蛤蜊（熟）</x:v>
      </x:c>
      <x:c r="D38" s="47" t="str">
        <x:v>熟/可食部</x:v>
      </x:c>
      <x:c r="E38" s="48" t="n">
        <x:v>148</x:v>
      </x:c>
      <x:c r="F38" s="48" t="n">
        <x:v>25.5</x:v>
      </x:c>
      <x:c r="G38" s="48" t="n">
        <x:v>2</x:v>
      </x:c>
      <x:c r="H38" s="48" t="n">
        <x:v>5.1</x:v>
      </x:c>
      <x:c r="I38" s="49" t="n">
        <x:v>1202</x:v>
      </x:c>
      <x:c r="J38" s="47" t="str">
        <x:v>USDA FDC</x:v>
      </x:c>
      <x:c r="K38" s="47" t="str">
        <x:v>天然鈉偏高；湯汁若喝下需計入</x:v>
      </x:c>
      <x:c r="L38" s="47" t="str">
        <x:v>https://fdc.nal.usda.gov/</x:v>
      </x:c>
    </x:row>
    <x:row r="39">
      <x:c r="A39" s="47" t="str">
        <x:v>SF009</x:v>
      </x:c>
      <x:c r="B39" s="47" t="str">
        <x:v>海鮮/魚類</x:v>
      </x:c>
      <x:c r="C39" s="47" t="str">
        <x:v>魷魚（熟）</x:v>
      </x:c>
      <x:c r="D39" s="47" t="str">
        <x:v>熟/可食部</x:v>
      </x:c>
      <x:c r="E39" s="48" t="n">
        <x:v>92</x:v>
      </x:c>
      <x:c r="F39" s="48" t="n">
        <x:v>15.6</x:v>
      </x:c>
      <x:c r="G39" s="48" t="n">
        <x:v>1.4</x:v>
      </x:c>
      <x:c r="H39" s="48" t="n">
        <x:v>3.1</x:v>
      </x:c>
      <x:c r="I39" s="49" t="n">
        <x:v>44</x:v>
      </x:c>
      <x:c r="J39" s="47" t="str">
        <x:v>USDA FDC</x:v>
      </x:c>
      <x:c r="K39" s="47"/>
      <x:c r="L39" s="47" t="str">
        <x:v>https://fdc.nal.usda.gov/</x:v>
      </x:c>
    </x:row>
    <x:row r="40">
      <x:c r="A40" s="47" t="str">
        <x:v>SF010</x:v>
      </x:c>
      <x:c r="B40" s="47" t="str">
        <x:v>海鮮/魚類</x:v>
      </x:c>
      <x:c r="C40" s="47" t="str">
        <x:v>牡蠣（熟）</x:v>
      </x:c>
      <x:c r="D40" s="47" t="str">
        <x:v>熟/可食部</x:v>
      </x:c>
      <x:c r="E40" s="48" t="n">
        <x:v>79</x:v>
      </x:c>
      <x:c r="F40" s="48" t="n">
        <x:v>9</x:v>
      </x:c>
      <x:c r="G40" s="48" t="n">
        <x:v>2.3</x:v>
      </x:c>
      <x:c r="H40" s="48" t="n">
        <x:v>4.8</x:v>
      </x:c>
      <x:c r="I40" s="49" t="n">
        <x:v>106</x:v>
      </x:c>
      <x:c r="J40" s="47" t="str">
        <x:v>USDA FDC</x:v>
      </x:c>
      <x:c r="K40" s="47"/>
      <x:c r="L40" s="47" t="str">
        <x:v>https://fdc.nal.usda.gov/</x:v>
      </x:c>
    </x:row>
    <x:row r="41">
      <x:c r="A41" s="47" t="str">
        <x:v>SO001</x:v>
      </x:c>
      <x:c r="B41" s="47" t="str">
        <x:v>豆類/植物蛋白</x:v>
      </x:c>
      <x:c r="C41" s="47" t="str">
        <x:v>板豆腐</x:v>
      </x:c>
      <x:c r="D41" s="47" t="str">
        <x:v>可食部</x:v>
      </x:c>
      <x:c r="E41" s="48" t="n">
        <x:v>76</x:v>
      </x:c>
      <x:c r="F41" s="48" t="n">
        <x:v>8.1</x:v>
      </x:c>
      <x:c r="G41" s="48" t="n">
        <x:v>4.8</x:v>
      </x:c>
      <x:c r="H41" s="48" t="n">
        <x:v>1.9</x:v>
      </x:c>
      <x:c r="I41" s="49" t="n">
        <x:v>7</x:v>
      </x:c>
      <x:c r="J41" s="47" t="str">
        <x:v>USDA FDC / Taiwan FDA nutrition DB</x:v>
      </x:c>
      <x:c r="K41" s="47" t="str">
        <x:v>滷豆腐需另加鈉/醬汁</x:v>
      </x:c>
      <x:c r="L41" s="47" t="str">
        <x:v>https://fdc.nal.usda.gov/ ; https://www.fda.gov.tw/tc/siteList.aspx?sid=284 ; https://consumer.fda.gov.tw/Food/TFND.aspx?nodeID=178</x:v>
      </x:c>
    </x:row>
    <x:row r="42">
      <x:c r="A42" s="47" t="str">
        <x:v>SO002</x:v>
      </x:c>
      <x:c r="B42" s="47" t="str">
        <x:v>豆類/植物蛋白</x:v>
      </x:c>
      <x:c r="C42" s="47" t="str">
        <x:v>嫩豆腐</x:v>
      </x:c>
      <x:c r="D42" s="47" t="str">
        <x:v>可食部</x:v>
      </x:c>
      <x:c r="E42" s="48" t="n">
        <x:v>55</x:v>
      </x:c>
      <x:c r="F42" s="48" t="n">
        <x:v>4.8</x:v>
      </x:c>
      <x:c r="G42" s="48" t="n">
        <x:v>2.7</x:v>
      </x:c>
      <x:c r="H42" s="48" t="n">
        <x:v>1.2</x:v>
      </x:c>
      <x:c r="I42" s="49" t="n">
        <x:v>7</x:v>
      </x:c>
      <x:c r="J42" s="47" t="str">
        <x:v>USDA FDC / Taiwan FDA nutrition DB</x:v>
      </x:c>
      <x:c r="K42" s="47"/>
      <x:c r="L42" s="47" t="str">
        <x:v>https://fdc.nal.usda.gov/ ; https://www.fda.gov.tw/tc/siteList.aspx?sid=284 ; https://consumer.fda.gov.tw/Food/TFND.aspx?nodeID=178</x:v>
      </x:c>
    </x:row>
    <x:row r="43">
      <x:c r="A43" s="47" t="str">
        <x:v>SO003</x:v>
      </x:c>
      <x:c r="B43" s="47" t="str">
        <x:v>豆類/植物蛋白</x:v>
      </x:c>
      <x:c r="C43" s="47" t="str">
        <x:v>毛豆（熟）</x:v>
      </x:c>
      <x:c r="D43" s="47" t="str">
        <x:v>熟/可食部</x:v>
      </x:c>
      <x:c r="E43" s="48" t="n">
        <x:v>121</x:v>
      </x:c>
      <x:c r="F43" s="48" t="n">
        <x:v>11.9</x:v>
      </x:c>
      <x:c r="G43" s="48" t="n">
        <x:v>5.2</x:v>
      </x:c>
      <x:c r="H43" s="48" t="n">
        <x:v>8.9</x:v>
      </x:c>
      <x:c r="I43" s="49" t="n">
        <x:v>6</x:v>
      </x:c>
      <x:c r="J43" s="47" t="str">
        <x:v>USDA FDC / Taiwan FDA nutrition DB</x:v>
      </x:c>
      <x:c r="K43" s="47"/>
      <x:c r="L43" s="47" t="str">
        <x:v>https://fdc.nal.usda.gov/ ; https://www.fda.gov.tw/tc/siteList.aspx?sid=284 ; https://consumer.fda.gov.tw/Food/TFND.aspx?nodeID=178</x:v>
      </x:c>
    </x:row>
    <x:row r="44">
      <x:c r="A44" s="47" t="str">
        <x:v>SO004</x:v>
      </x:c>
      <x:c r="B44" s="47" t="str">
        <x:v>豆類/植物蛋白</x:v>
      </x:c>
      <x:c r="C44" s="47" t="str">
        <x:v>黃豆（熟）</x:v>
      </x:c>
      <x:c r="D44" s="47" t="str">
        <x:v>熟/可食部</x:v>
      </x:c>
      <x:c r="E44" s="48" t="n">
        <x:v>172</x:v>
      </x:c>
      <x:c r="F44" s="48" t="n">
        <x:v>18.2</x:v>
      </x:c>
      <x:c r="G44" s="48" t="n">
        <x:v>9</x:v>
      </x:c>
      <x:c r="H44" s="48" t="n">
        <x:v>8.4</x:v>
      </x:c>
      <x:c r="I44" s="49" t="n">
        <x:v>1</x:v>
      </x:c>
      <x:c r="J44" s="47" t="str">
        <x:v>USDA FDC</x:v>
      </x:c>
      <x:c r="K44" s="47"/>
      <x:c r="L44" s="47" t="str">
        <x:v>https://fdc.nal.usda.gov/</x:v>
      </x:c>
    </x:row>
    <x:row r="45">
      <x:c r="A45" s="47" t="str">
        <x:v>SO005</x:v>
      </x:c>
      <x:c r="B45" s="47" t="str">
        <x:v>豆類/植物蛋白</x:v>
      </x:c>
      <x:c r="C45" s="47" t="str">
        <x:v>黑豆（熟）</x:v>
      </x:c>
      <x:c r="D45" s="47" t="str">
        <x:v>熟/可食部</x:v>
      </x:c>
      <x:c r="E45" s="48" t="n">
        <x:v>132</x:v>
      </x:c>
      <x:c r="F45" s="48" t="n">
        <x:v>8.9</x:v>
      </x:c>
      <x:c r="G45" s="48" t="n">
        <x:v>0.5</x:v>
      </x:c>
      <x:c r="H45" s="48" t="n">
        <x:v>23.7</x:v>
      </x:c>
      <x:c r="I45" s="49" t="n">
        <x:v>1</x:v>
      </x:c>
      <x:c r="J45" s="47" t="str">
        <x:v>USDA FDC / estimate</x:v>
      </x:c>
      <x:c r="K45" s="47"/>
      <x:c r="L45" s="47" t="str">
        <x:v>https://fdc.nal.usda.gov/</x:v>
      </x:c>
    </x:row>
    <x:row r="46">
      <x:c r="A46" s="47" t="str">
        <x:v>SO006</x:v>
      </x:c>
      <x:c r="B46" s="47" t="str">
        <x:v>豆類/植物蛋白</x:v>
      </x:c>
      <x:c r="C46" s="47" t="str">
        <x:v>無糖豆漿</x:v>
      </x:c>
      <x:c r="D46" s="47" t="str">
        <x:v>液體/100ml</x:v>
      </x:c>
      <x:c r="E46" s="48" t="n">
        <x:v>33</x:v>
      </x:c>
      <x:c r="F46" s="48" t="n">
        <x:v>3.3</x:v>
      </x:c>
      <x:c r="G46" s="48" t="n">
        <x:v>1.8</x:v>
      </x:c>
      <x:c r="H46" s="48" t="n">
        <x:v>1</x:v>
      </x:c>
      <x:c r="I46" s="49" t="n">
        <x:v>40</x:v>
      </x:c>
      <x:c r="J46" s="47" t="str">
        <x:v>Taiwan FDA nutrition DB / estimate</x:v>
      </x:c>
      <x:c r="K46" s="47" t="str">
        <x:v>不同品牌差異大</x:v>
      </x:c>
      <x:c r="L46" s="47" t="str">
        <x:v>https://www.fda.gov.tw/tc/siteList.aspx?sid=284 ; https://consumer.fda.gov.tw/Food/TFND.aspx?nodeID=178</x:v>
      </x:c>
    </x:row>
    <x:row r="47">
      <x:c r="A47" s="47" t="str">
        <x:v>SO007</x:v>
      </x:c>
      <x:c r="B47" s="47" t="str">
        <x:v>豆類/植物蛋白</x:v>
      </x:c>
      <x:c r="C47" s="47" t="str">
        <x:v>天貝</x:v>
      </x:c>
      <x:c r="D47" s="47" t="str">
        <x:v>可食部</x:v>
      </x:c>
      <x:c r="E47" s="48" t="n">
        <x:v>193</x:v>
      </x:c>
      <x:c r="F47" s="48" t="n">
        <x:v>19</x:v>
      </x:c>
      <x:c r="G47" s="48" t="n">
        <x:v>11</x:v>
      </x:c>
      <x:c r="H47" s="48" t="n">
        <x:v>9</x:v>
      </x:c>
      <x:c r="I47" s="49" t="n">
        <x:v>9</x:v>
      </x:c>
      <x:c r="J47" s="47" t="str">
        <x:v>USDA FDC</x:v>
      </x:c>
      <x:c r="K47" s="47"/>
      <x:c r="L47" s="47" t="str">
        <x:v>https://fdc.nal.usda.gov/</x:v>
      </x:c>
    </x:row>
    <x:row r="48">
      <x:c r="A48" s="47" t="str">
        <x:v>DA001</x:v>
      </x:c>
      <x:c r="B48" s="47" t="str">
        <x:v>乳品</x:v>
      </x:c>
      <x:c r="C48" s="47" t="str">
        <x:v>鮮奶（全脂）</x:v>
      </x:c>
      <x:c r="D48" s="47" t="str">
        <x:v>液體/100ml</x:v>
      </x:c>
      <x:c r="E48" s="48" t="n">
        <x:v>61</x:v>
      </x:c>
      <x:c r="F48" s="48" t="n">
        <x:v>3.2</x:v>
      </x:c>
      <x:c r="G48" s="48" t="n">
        <x:v>3.3</x:v>
      </x:c>
      <x:c r="H48" s="48" t="n">
        <x:v>4.8</x:v>
      </x:c>
      <x:c r="I48" s="49" t="n">
        <x:v>43</x:v>
      </x:c>
      <x:c r="J48" s="47" t="str">
        <x:v>USDA FDC / Taiwan FDA nutrition DB</x:v>
      </x:c>
      <x:c r="K48" s="47"/>
      <x:c r="L48" s="47" t="str">
        <x:v>https://fdc.nal.usda.gov/ ; https://www.fda.gov.tw/tc/siteList.aspx?sid=284 ; https://consumer.fda.gov.tw/Food/TFND.aspx?nodeID=178</x:v>
      </x:c>
    </x:row>
    <x:row r="49">
      <x:c r="A49" s="47" t="str">
        <x:v>DA002</x:v>
      </x:c>
      <x:c r="B49" s="47" t="str">
        <x:v>乳品</x:v>
      </x:c>
      <x:c r="C49" s="47" t="str">
        <x:v>鮮奶（低脂）</x:v>
      </x:c>
      <x:c r="D49" s="47" t="str">
        <x:v>液體/100ml</x:v>
      </x:c>
      <x:c r="E49" s="48" t="n">
        <x:v>42</x:v>
      </x:c>
      <x:c r="F49" s="48" t="n">
        <x:v>3.4</x:v>
      </x:c>
      <x:c r="G49" s="48" t="n">
        <x:v>1</x:v>
      </x:c>
      <x:c r="H49" s="48" t="n">
        <x:v>5</x:v>
      </x:c>
      <x:c r="I49" s="49" t="n">
        <x:v>44</x:v>
      </x:c>
      <x:c r="J49" s="47" t="str">
        <x:v>USDA FDC / Taiwan FDA nutrition DB</x:v>
      </x:c>
      <x:c r="K49" s="47"/>
      <x:c r="L49" s="47" t="str">
        <x:v>https://fdc.nal.usda.gov/ ; https://www.fda.gov.tw/tc/siteList.aspx?sid=284 ; https://consumer.fda.gov.tw/Food/TFND.aspx?nodeID=178</x:v>
      </x:c>
    </x:row>
    <x:row r="50">
      <x:c r="A50" s="47" t="str">
        <x:v>DA003</x:v>
      </x:c>
      <x:c r="B50" s="47" t="str">
        <x:v>乳品</x:v>
      </x:c>
      <x:c r="C50" s="47" t="str">
        <x:v>希臘優格（無糖）</x:v>
      </x:c>
      <x:c r="D50" s="47" t="str">
        <x:v>可食部</x:v>
      </x:c>
      <x:c r="E50" s="48" t="n">
        <x:v>97</x:v>
      </x:c>
      <x:c r="F50" s="48" t="n">
        <x:v>9</x:v>
      </x:c>
      <x:c r="G50" s="48" t="n">
        <x:v>5</x:v>
      </x:c>
      <x:c r="H50" s="48" t="n">
        <x:v>3.6</x:v>
      </x:c>
      <x:c r="I50" s="49" t="n">
        <x:v>36</x:v>
      </x:c>
      <x:c r="J50" s="47" t="str">
        <x:v>USDA FDC / estimate</x:v>
      </x:c>
      <x:c r="K50" s="47" t="str">
        <x:v>品牌差異非常大</x:v>
      </x:c>
      <x:c r="L50" s="47" t="str">
        <x:v>https://fdc.nal.usda.gov/</x:v>
      </x:c>
    </x:row>
    <x:row r="51">
      <x:c r="A51" s="47" t="str">
        <x:v>DA004</x:v>
      </x:c>
      <x:c r="B51" s="47" t="str">
        <x:v>乳品</x:v>
      </x:c>
      <x:c r="C51" s="47" t="str">
        <x:v>優格（無糖原味）</x:v>
      </x:c>
      <x:c r="D51" s="47" t="str">
        <x:v>可食部</x:v>
      </x:c>
      <x:c r="E51" s="48" t="n">
        <x:v>61</x:v>
      </x:c>
      <x:c r="F51" s="48" t="n">
        <x:v>3.5</x:v>
      </x:c>
      <x:c r="G51" s="48" t="n">
        <x:v>3.3</x:v>
      </x:c>
      <x:c r="H51" s="48" t="n">
        <x:v>4.7</x:v>
      </x:c>
      <x:c r="I51" s="49" t="n">
        <x:v>46</x:v>
      </x:c>
      <x:c r="J51" s="47" t="str">
        <x:v>USDA FDC</x:v>
      </x:c>
      <x:c r="K51" s="47"/>
      <x:c r="L51" s="47" t="str">
        <x:v>https://fdc.nal.usda.gov/</x:v>
      </x:c>
    </x:row>
    <x:row r="52">
      <x:c r="A52" s="47" t="str">
        <x:v>VG001</x:v>
      </x:c>
      <x:c r="B52" s="47" t="str">
        <x:v>蔬菜</x:v>
      </x:c>
      <x:c r="C52" s="47" t="str">
        <x:v>青花菜（熟）</x:v>
      </x:c>
      <x:c r="D52" s="47" t="str">
        <x:v>熟/可食部</x:v>
      </x:c>
      <x:c r="E52" s="48" t="n">
        <x:v>35</x:v>
      </x:c>
      <x:c r="F52" s="48" t="n">
        <x:v>2.4</x:v>
      </x:c>
      <x:c r="G52" s="48" t="n">
        <x:v>0.4</x:v>
      </x:c>
      <x:c r="H52" s="48" t="n">
        <x:v>7.2</x:v>
      </x:c>
      <x:c r="I52" s="49" t="n">
        <x:v>41</x:v>
      </x:c>
      <x:c r="J52" s="47" t="str">
        <x:v>USDA FDC</x:v>
      </x:c>
      <x:c r="K52" s="47"/>
      <x:c r="L52" s="47" t="str">
        <x:v>https://fdc.nal.usda.gov/</x:v>
      </x:c>
    </x:row>
    <x:row r="53">
      <x:c r="A53" s="47" t="str">
        <x:v>VG002</x:v>
      </x:c>
      <x:c r="B53" s="47" t="str">
        <x:v>蔬菜</x:v>
      </x:c>
      <x:c r="C53" s="47" t="str">
        <x:v>白花椰菜（熟）</x:v>
      </x:c>
      <x:c r="D53" s="47" t="str">
        <x:v>熟/可食部</x:v>
      </x:c>
      <x:c r="E53" s="48" t="n">
        <x:v>23</x:v>
      </x:c>
      <x:c r="F53" s="48" t="n">
        <x:v>1.8</x:v>
      </x:c>
      <x:c r="G53" s="48" t="n">
        <x:v>0.5</x:v>
      </x:c>
      <x:c r="H53" s="48" t="n">
        <x:v>4.1</x:v>
      </x:c>
      <x:c r="I53" s="49" t="n">
        <x:v>15</x:v>
      </x:c>
      <x:c r="J53" s="47" t="str">
        <x:v>USDA FDC</x:v>
      </x:c>
      <x:c r="K53" s="47"/>
      <x:c r="L53" s="47" t="str">
        <x:v>https://fdc.nal.usda.gov/</x:v>
      </x:c>
    </x:row>
    <x:row r="54">
      <x:c r="A54" s="47" t="str">
        <x:v>VG003</x:v>
      </x:c>
      <x:c r="B54" s="47" t="str">
        <x:v>蔬菜</x:v>
      </x:c>
      <x:c r="C54" s="47" t="str">
        <x:v>菠菜（熟）</x:v>
      </x:c>
      <x:c r="D54" s="47" t="str">
        <x:v>熟/可食部</x:v>
      </x:c>
      <x:c r="E54" s="48" t="n">
        <x:v>23</x:v>
      </x:c>
      <x:c r="F54" s="48" t="n">
        <x:v>3</x:v>
      </x:c>
      <x:c r="G54" s="48" t="n">
        <x:v>0.3</x:v>
      </x:c>
      <x:c r="H54" s="48" t="n">
        <x:v>3.8</x:v>
      </x:c>
      <x:c r="I54" s="49" t="n">
        <x:v>70</x:v>
      </x:c>
      <x:c r="J54" s="47" t="str">
        <x:v>USDA FDC</x:v>
      </x:c>
      <x:c r="K54" s="47"/>
      <x:c r="L54" s="47" t="str">
        <x:v>https://fdc.nal.usda.gov/</x:v>
      </x:c>
    </x:row>
    <x:row r="55">
      <x:c r="A55" s="47" t="str">
        <x:v>VG004</x:v>
      </x:c>
      <x:c r="B55" s="47" t="str">
        <x:v>蔬菜</x:v>
      </x:c>
      <x:c r="C55" s="47" t="str">
        <x:v>高麗菜（生）</x:v>
      </x:c>
      <x:c r="D55" s="47" t="str">
        <x:v>生/可食部</x:v>
      </x:c>
      <x:c r="E55" s="48" t="n">
        <x:v>25</x:v>
      </x:c>
      <x:c r="F55" s="48" t="n">
        <x:v>1.3</x:v>
      </x:c>
      <x:c r="G55" s="48" t="n">
        <x:v>0.1</x:v>
      </x:c>
      <x:c r="H55" s="48" t="n">
        <x:v>5.8</x:v>
      </x:c>
      <x:c r="I55" s="49" t="n">
        <x:v>18</x:v>
      </x:c>
      <x:c r="J55" s="47" t="str">
        <x:v>USDA FDC / Taiwan FDA nutrition DB</x:v>
      </x:c>
      <x:c r="K55" s="47" t="str">
        <x:v>炒高麗菜熱量主要來自油</x:v>
      </x:c>
      <x:c r="L55" s="47" t="str">
        <x:v>https://fdc.nal.usda.gov/ ; https://www.fda.gov.tw/tc/siteList.aspx?sid=284 ; https://consumer.fda.gov.tw/Food/TFND.aspx?nodeID=178</x:v>
      </x:c>
    </x:row>
    <x:row r="56">
      <x:c r="A56" s="47" t="str">
        <x:v>VG005</x:v>
      </x:c>
      <x:c r="B56" s="47" t="str">
        <x:v>蔬菜</x:v>
      </x:c>
      <x:c r="C56" s="47" t="str">
        <x:v>大白菜（熟）</x:v>
      </x:c>
      <x:c r="D56" s="47" t="str">
        <x:v>熟/可食部</x:v>
      </x:c>
      <x:c r="E56" s="48" t="n">
        <x:v>13</x:v>
      </x:c>
      <x:c r="F56" s="48" t="n">
        <x:v>1.5</x:v>
      </x:c>
      <x:c r="G56" s="48" t="n">
        <x:v>0.2</x:v>
      </x:c>
      <x:c r="H56" s="48" t="n">
        <x:v>2.2</x:v>
      </x:c>
      <x:c r="I56" s="49" t="n">
        <x:v>8</x:v>
      </x:c>
      <x:c r="J56" s="47" t="str">
        <x:v>USDA FDC / estimate</x:v>
      </x:c>
      <x:c r="K56" s="47"/>
      <x:c r="L56" s="47" t="str">
        <x:v>https://fdc.nal.usda.gov/</x:v>
      </x:c>
    </x:row>
    <x:row r="57">
      <x:c r="A57" s="47" t="str">
        <x:v>VG006</x:v>
      </x:c>
      <x:c r="B57" s="47" t="str">
        <x:v>蔬菜</x:v>
      </x:c>
      <x:c r="C57" s="47" t="str">
        <x:v>空心菜（熟）</x:v>
      </x:c>
      <x:c r="D57" s="47" t="str">
        <x:v>熟/可食部</x:v>
      </x:c>
      <x:c r="E57" s="48" t="n">
        <x:v>19</x:v>
      </x:c>
      <x:c r="F57" s="48" t="n">
        <x:v>2.6</x:v>
      </x:c>
      <x:c r="G57" s="48" t="n">
        <x:v>0.2</x:v>
      </x:c>
      <x:c r="H57" s="48" t="n">
        <x:v>3.1</x:v>
      </x:c>
      <x:c r="I57" s="49" t="n">
        <x:v>113</x:v>
      </x:c>
      <x:c r="J57" s="47" t="str">
        <x:v>Taiwan FDA nutrition DB / estimate</x:v>
      </x:c>
      <x:c r="K57" s="47" t="str">
        <x:v>常見熱炒鈉來自調味，不只菜本身</x:v>
      </x:c>
      <x:c r="L57" s="47" t="str">
        <x:v>https://www.fda.gov.tw/tc/siteList.aspx?sid=284 ; https://consumer.fda.gov.tw/Food/TFND.aspx?nodeID=178</x:v>
      </x:c>
    </x:row>
    <x:row r="58">
      <x:c r="A58" s="47" t="str">
        <x:v>VG007</x:v>
      </x:c>
      <x:c r="B58" s="47" t="str">
        <x:v>蔬菜</x:v>
      </x:c>
      <x:c r="C58" s="47" t="str">
        <x:v>地瓜葉（熟）</x:v>
      </x:c>
      <x:c r="D58" s="47" t="str">
        <x:v>熟/可食部</x:v>
      </x:c>
      <x:c r="E58" s="48" t="n">
        <x:v>34</x:v>
      </x:c>
      <x:c r="F58" s="48" t="n">
        <x:v>2.5</x:v>
      </x:c>
      <x:c r="G58" s="48" t="n">
        <x:v>0.5</x:v>
      </x:c>
      <x:c r="H58" s="48" t="n">
        <x:v>6.9</x:v>
      </x:c>
      <x:c r="I58" s="49" t="n">
        <x:v>30</x:v>
      </x:c>
      <x:c r="J58" s="47" t="str">
        <x:v>Taiwan FDA nutrition DB / estimate</x:v>
      </x:c>
      <x:c r="K58" s="47"/>
      <x:c r="L58" s="47" t="str">
        <x:v>https://www.fda.gov.tw/tc/siteList.aspx?sid=284 ; https://consumer.fda.gov.tw/Food/TFND.aspx?nodeID=178</x:v>
      </x:c>
    </x:row>
    <x:row r="59">
      <x:c r="A59" s="47" t="str">
        <x:v>VG008</x:v>
      </x:c>
      <x:c r="B59" s="47" t="str">
        <x:v>蔬菜</x:v>
      </x:c>
      <x:c r="C59" s="47" t="str">
        <x:v>小白菜（熟）</x:v>
      </x:c>
      <x:c r="D59" s="47" t="str">
        <x:v>熟/可食部</x:v>
      </x:c>
      <x:c r="E59" s="48" t="n">
        <x:v>13</x:v>
      </x:c>
      <x:c r="F59" s="48" t="n">
        <x:v>1.5</x:v>
      </x:c>
      <x:c r="G59" s="48" t="n">
        <x:v>0.2</x:v>
      </x:c>
      <x:c r="H59" s="48" t="n">
        <x:v>2.2</x:v>
      </x:c>
      <x:c r="I59" s="49" t="n">
        <x:v>8</x:v>
      </x:c>
      <x:c r="J59" s="47" t="str">
        <x:v>USDA FDC / estimate</x:v>
      </x:c>
      <x:c r="K59" s="47"/>
      <x:c r="L59" s="47" t="str">
        <x:v>https://fdc.nal.usda.gov/</x:v>
      </x:c>
    </x:row>
    <x:row r="60">
      <x:c r="A60" s="47" t="str">
        <x:v>VG009</x:v>
      </x:c>
      <x:c r="B60" s="47" t="str">
        <x:v>蔬菜</x:v>
      </x:c>
      <x:c r="C60" s="47" t="str">
        <x:v>油菜（熟）</x:v>
      </x:c>
      <x:c r="D60" s="47" t="str">
        <x:v>熟/可食部</x:v>
      </x:c>
      <x:c r="E60" s="48" t="n">
        <x:v>22</x:v>
      </x:c>
      <x:c r="F60" s="48" t="n">
        <x:v>2.1</x:v>
      </x:c>
      <x:c r="G60" s="48" t="n">
        <x:v>0.3</x:v>
      </x:c>
      <x:c r="H60" s="48" t="n">
        <x:v>3.8</x:v>
      </x:c>
      <x:c r="I60" s="49" t="n">
        <x:v>33</x:v>
      </x:c>
      <x:c r="J60" s="47" t="str">
        <x:v>USDA FDC / estimate</x:v>
      </x:c>
      <x:c r="K60" s="47"/>
      <x:c r="L60" s="47" t="str">
        <x:v>https://fdc.nal.usda.gov/</x:v>
      </x:c>
    </x:row>
    <x:row r="61">
      <x:c r="A61" s="47" t="str">
        <x:v>VG010</x:v>
      </x:c>
      <x:c r="B61" s="47" t="str">
        <x:v>蔬菜</x:v>
      </x:c>
      <x:c r="C61" s="47" t="str">
        <x:v>萵苣（生）</x:v>
      </x:c>
      <x:c r="D61" s="47" t="str">
        <x:v>生/可食部</x:v>
      </x:c>
      <x:c r="E61" s="48" t="n">
        <x:v>15</x:v>
      </x:c>
      <x:c r="F61" s="48" t="n">
        <x:v>1.4</x:v>
      </x:c>
      <x:c r="G61" s="48" t="n">
        <x:v>0.2</x:v>
      </x:c>
      <x:c r="H61" s="48" t="n">
        <x:v>2.9</x:v>
      </x:c>
      <x:c r="I61" s="49" t="n">
        <x:v>28</x:v>
      </x:c>
      <x:c r="J61" s="47" t="str">
        <x:v>USDA FDC</x:v>
      </x:c>
      <x:c r="K61" s="47"/>
      <x:c r="L61" s="47" t="str">
        <x:v>https://fdc.nal.usda.gov/</x:v>
      </x:c>
    </x:row>
    <x:row r="62">
      <x:c r="A62" s="47" t="str">
        <x:v>VG011</x:v>
      </x:c>
      <x:c r="B62" s="47" t="str">
        <x:v>蔬菜</x:v>
      </x:c>
      <x:c r="C62" s="47" t="str">
        <x:v>番茄（生）</x:v>
      </x:c>
      <x:c r="D62" s="47" t="str">
        <x:v>生/可食部</x:v>
      </x:c>
      <x:c r="E62" s="48" t="n">
        <x:v>18</x:v>
      </x:c>
      <x:c r="F62" s="48" t="n">
        <x:v>0.9</x:v>
      </x:c>
      <x:c r="G62" s="48" t="n">
        <x:v>0.2</x:v>
      </x:c>
      <x:c r="H62" s="48" t="n">
        <x:v>3.9</x:v>
      </x:c>
      <x:c r="I62" s="49" t="n">
        <x:v>5</x:v>
      </x:c>
      <x:c r="J62" s="47" t="str">
        <x:v>USDA FDC</x:v>
      </x:c>
      <x:c r="K62" s="47"/>
      <x:c r="L62" s="47" t="str">
        <x:v>https://fdc.nal.usda.gov/</x:v>
      </x:c>
    </x:row>
    <x:row r="63">
      <x:c r="A63" s="47" t="str">
        <x:v>VG012</x:v>
      </x:c>
      <x:c r="B63" s="47" t="str">
        <x:v>蔬菜</x:v>
      </x:c>
      <x:c r="C63" s="47" t="str">
        <x:v>小黃瓜（生）</x:v>
      </x:c>
      <x:c r="D63" s="47" t="str">
        <x:v>生/可食部</x:v>
      </x:c>
      <x:c r="E63" s="48" t="n">
        <x:v>15</x:v>
      </x:c>
      <x:c r="F63" s="48" t="n">
        <x:v>0.7</x:v>
      </x:c>
      <x:c r="G63" s="48" t="n">
        <x:v>0.1</x:v>
      </x:c>
      <x:c r="H63" s="48" t="n">
        <x:v>3.6</x:v>
      </x:c>
      <x:c r="I63" s="49" t="n">
        <x:v>2</x:v>
      </x:c>
      <x:c r="J63" s="47" t="str">
        <x:v>USDA FDC</x:v>
      </x:c>
      <x:c r="K63" s="47"/>
      <x:c r="L63" s="47" t="str">
        <x:v>https://fdc.nal.usda.gov/</x:v>
      </x:c>
    </x:row>
    <x:row r="64">
      <x:c r="A64" s="47" t="str">
        <x:v>VG013</x:v>
      </x:c>
      <x:c r="B64" s="47" t="str">
        <x:v>蔬菜</x:v>
      </x:c>
      <x:c r="C64" s="47" t="str">
        <x:v>胡蘿蔔（熟）</x:v>
      </x:c>
      <x:c r="D64" s="47" t="str">
        <x:v>熟/可食部</x:v>
      </x:c>
      <x:c r="E64" s="48" t="n">
        <x:v>35</x:v>
      </x:c>
      <x:c r="F64" s="48" t="n">
        <x:v>0.8</x:v>
      </x:c>
      <x:c r="G64" s="48" t="n">
        <x:v>0.2</x:v>
      </x:c>
      <x:c r="H64" s="48" t="n">
        <x:v>8.2</x:v>
      </x:c>
      <x:c r="I64" s="49" t="n">
        <x:v>58</x:v>
      </x:c>
      <x:c r="J64" s="47" t="str">
        <x:v>USDA FDC</x:v>
      </x:c>
      <x:c r="K64" s="47"/>
      <x:c r="L64" s="47" t="str">
        <x:v>https://fdc.nal.usda.gov/</x:v>
      </x:c>
    </x:row>
    <x:row r="65">
      <x:c r="A65" s="47" t="str">
        <x:v>VG014</x:v>
      </x:c>
      <x:c r="B65" s="47" t="str">
        <x:v>蔬菜</x:v>
      </x:c>
      <x:c r="C65" s="47" t="str">
        <x:v>洋蔥（熟）</x:v>
      </x:c>
      <x:c r="D65" s="47" t="str">
        <x:v>熟/可食部</x:v>
      </x:c>
      <x:c r="E65" s="48" t="n">
        <x:v>44</x:v>
      </x:c>
      <x:c r="F65" s="48" t="n">
        <x:v>1.4</x:v>
      </x:c>
      <x:c r="G65" s="48" t="n">
        <x:v>0.2</x:v>
      </x:c>
      <x:c r="H65" s="48" t="n">
        <x:v>10.1</x:v>
      </x:c>
      <x:c r="I65" s="49" t="n">
        <x:v>3</x:v>
      </x:c>
      <x:c r="J65" s="47" t="str">
        <x:v>USDA FDC</x:v>
      </x:c>
      <x:c r="K65" s="47"/>
      <x:c r="L65" s="47" t="str">
        <x:v>https://fdc.nal.usda.gov/</x:v>
      </x:c>
    </x:row>
    <x:row r="66">
      <x:c r="A66" s="47" t="str">
        <x:v>VG015</x:v>
      </x:c>
      <x:c r="B66" s="47" t="str">
        <x:v>蔬菜</x:v>
      </x:c>
      <x:c r="C66" s="47" t="str">
        <x:v>青椒（生）</x:v>
      </x:c>
      <x:c r="D66" s="47" t="str">
        <x:v>生/可食部</x:v>
      </x:c>
      <x:c r="E66" s="48" t="n">
        <x:v>20</x:v>
      </x:c>
      <x:c r="F66" s="48" t="n">
        <x:v>0.9</x:v>
      </x:c>
      <x:c r="G66" s="48" t="n">
        <x:v>0.2</x:v>
      </x:c>
      <x:c r="H66" s="48" t="n">
        <x:v>4.6</x:v>
      </x:c>
      <x:c r="I66" s="49" t="n">
        <x:v>3</x:v>
      </x:c>
      <x:c r="J66" s="47" t="str">
        <x:v>USDA FDC</x:v>
      </x:c>
      <x:c r="K66" s="47"/>
      <x:c r="L66" s="47" t="str">
        <x:v>https://fdc.nal.usda.gov/</x:v>
      </x:c>
    </x:row>
    <x:row r="67">
      <x:c r="A67" s="47" t="str">
        <x:v>VG016</x:v>
      </x:c>
      <x:c r="B67" s="47" t="str">
        <x:v>蔬菜</x:v>
      </x:c>
      <x:c r="C67" s="47" t="str">
        <x:v>香菇（熟）</x:v>
      </x:c>
      <x:c r="D67" s="47" t="str">
        <x:v>熟/可食部</x:v>
      </x:c>
      <x:c r="E67" s="48" t="n">
        <x:v>56</x:v>
      </x:c>
      <x:c r="F67" s="48" t="n">
        <x:v>1.6</x:v>
      </x:c>
      <x:c r="G67" s="48" t="n">
        <x:v>0.2</x:v>
      </x:c>
      <x:c r="H67" s="48" t="n">
        <x:v>14.4</x:v>
      </x:c>
      <x:c r="I67" s="49" t="n">
        <x:v>9</x:v>
      </x:c>
      <x:c r="J67" s="47" t="str">
        <x:v>USDA FDC / estimate</x:v>
      </x:c>
      <x:c r="K67" s="47" t="str">
        <x:v>乾香菇請另建乾重版本</x:v>
      </x:c>
      <x:c r="L67" s="47" t="str">
        <x:v>https://fdc.nal.usda.gov/</x:v>
      </x:c>
    </x:row>
    <x:row r="68">
      <x:c r="A68" s="47" t="str">
        <x:v>VG017</x:v>
      </x:c>
      <x:c r="B68" s="47" t="str">
        <x:v>蔬菜</x:v>
      </x:c>
      <x:c r="C68" s="47" t="str">
        <x:v>杏鮑菇（熟）</x:v>
      </x:c>
      <x:c r="D68" s="47" t="str">
        <x:v>熟/可食部</x:v>
      </x:c>
      <x:c r="E68" s="48" t="n">
        <x:v>35</x:v>
      </x:c>
      <x:c r="F68" s="48" t="n">
        <x:v>3</x:v>
      </x:c>
      <x:c r="G68" s="48" t="n">
        <x:v>0.4</x:v>
      </x:c>
      <x:c r="H68" s="48" t="n">
        <x:v>6.5</x:v>
      </x:c>
      <x:c r="I68" s="49" t="n">
        <x:v>10</x:v>
      </x:c>
      <x:c r="J68" s="47" t="str">
        <x:v>Taiwan FDA nutrition DB / estimate</x:v>
      </x:c>
      <x:c r="K68" s="47"/>
      <x:c r="L68" s="47" t="str">
        <x:v>https://www.fda.gov.tw/tc/siteList.aspx?sid=284 ; https://consumer.fda.gov.tw/Food/TFND.aspx?nodeID=178</x:v>
      </x:c>
    </x:row>
    <x:row r="69">
      <x:c r="A69" s="47" t="str">
        <x:v>VG018</x:v>
      </x:c>
      <x:c r="B69" s="47" t="str">
        <x:v>蔬菜</x:v>
      </x:c>
      <x:c r="C69" s="47" t="str">
        <x:v>金針菇（熟）</x:v>
      </x:c>
      <x:c r="D69" s="47" t="str">
        <x:v>熟/可食部</x:v>
      </x:c>
      <x:c r="E69" s="48" t="n">
        <x:v>37</x:v>
      </x:c>
      <x:c r="F69" s="48" t="n">
        <x:v>2.7</x:v>
      </x:c>
      <x:c r="G69" s="48" t="n">
        <x:v>0.3</x:v>
      </x:c>
      <x:c r="H69" s="48" t="n">
        <x:v>7.8</x:v>
      </x:c>
      <x:c r="I69" s="49" t="n">
        <x:v>3</x:v>
      </x:c>
      <x:c r="J69" s="47" t="str">
        <x:v>Taiwan FDA nutrition DB / estimate</x:v>
      </x:c>
      <x:c r="K69" s="47"/>
      <x:c r="L69" s="47" t="str">
        <x:v>https://www.fda.gov.tw/tc/siteList.aspx?sid=284 ; https://consumer.fda.gov.tw/Food/TFND.aspx?nodeID=178</x:v>
      </x:c>
    </x:row>
    <x:row r="70">
      <x:c r="A70" s="47" t="str">
        <x:v>VG019</x:v>
      </x:c>
      <x:c r="B70" s="47" t="str">
        <x:v>蔬菜</x:v>
      </x:c>
      <x:c r="C70" s="47" t="str">
        <x:v>木耳（熟）</x:v>
      </x:c>
      <x:c r="D70" s="47" t="str">
        <x:v>熟/可食部</x:v>
      </x:c>
      <x:c r="E70" s="48" t="n">
        <x:v>25</x:v>
      </x:c>
      <x:c r="F70" s="48" t="n">
        <x:v>0.5</x:v>
      </x:c>
      <x:c r="G70" s="48" t="n">
        <x:v>0.1</x:v>
      </x:c>
      <x:c r="H70" s="48" t="n">
        <x:v>6.8</x:v>
      </x:c>
      <x:c r="I70" s="49" t="n">
        <x:v>9</x:v>
      </x:c>
      <x:c r="J70" s="47" t="str">
        <x:v>USDA FDC / estimate</x:v>
      </x:c>
      <x:c r="K70" s="47"/>
      <x:c r="L70" s="47" t="str">
        <x:v>https://fdc.nal.usda.gov/</x:v>
      </x:c>
    </x:row>
    <x:row r="71">
      <x:c r="A71" s="47" t="str">
        <x:v>VG020</x:v>
      </x:c>
      <x:c r="B71" s="47" t="str">
        <x:v>蔬菜</x:v>
      </x:c>
      <x:c r="C71" s="47" t="str">
        <x:v>海帶（熟）</x:v>
      </x:c>
      <x:c r="D71" s="47" t="str">
        <x:v>熟/可食部</x:v>
      </x:c>
      <x:c r="E71" s="48" t="n">
        <x:v>43</x:v>
      </x:c>
      <x:c r="F71" s="48" t="n">
        <x:v>1.7</x:v>
      </x:c>
      <x:c r="G71" s="48" t="n">
        <x:v>0.6</x:v>
      </x:c>
      <x:c r="H71" s="48" t="n">
        <x:v>9.6</x:v>
      </x:c>
      <x:c r="I71" s="49" t="n">
        <x:v>233</x:v>
      </x:c>
      <x:c r="J71" s="47" t="str">
        <x:v>USDA FDC / estimate</x:v>
      </x:c>
      <x:c r="K71" s="47" t="str">
        <x:v>天然鈉較高</x:v>
      </x:c>
      <x:c r="L71" s="47" t="str">
        <x:v>https://fdc.nal.usda.gov/</x:v>
      </x:c>
    </x:row>
    <x:row r="72">
      <x:c r="A72" s="47" t="str">
        <x:v>VG021</x:v>
      </x:c>
      <x:c r="B72" s="47" t="str">
        <x:v>蔬菜</x:v>
      </x:c>
      <x:c r="C72" s="47" t="str">
        <x:v>茄子（熟）</x:v>
      </x:c>
      <x:c r="D72" s="47" t="str">
        <x:v>熟/可食部</x:v>
      </x:c>
      <x:c r="E72" s="48" t="n">
        <x:v>35</x:v>
      </x:c>
      <x:c r="F72" s="48" t="n">
        <x:v>0.8</x:v>
      </x:c>
      <x:c r="G72" s="48" t="n">
        <x:v>0.2</x:v>
      </x:c>
      <x:c r="H72" s="48" t="n">
        <x:v>8.7</x:v>
      </x:c>
      <x:c r="I72" s="49" t="n">
        <x:v>1</x:v>
      </x:c>
      <x:c r="J72" s="47" t="str">
        <x:v>USDA FDC</x:v>
      </x:c>
      <x:c r="K72" s="47"/>
      <x:c r="L72" s="47" t="str">
        <x:v>https://fdc.nal.usda.gov/</x:v>
      </x:c>
    </x:row>
    <x:row r="73">
      <x:c r="A73" s="47" t="str">
        <x:v>VG022</x:v>
      </x:c>
      <x:c r="B73" s="47" t="str">
        <x:v>蔬菜</x:v>
      </x:c>
      <x:c r="C73" s="47" t="str">
        <x:v>櫛瓜（熟）</x:v>
      </x:c>
      <x:c r="D73" s="47" t="str">
        <x:v>熟/可食部</x:v>
      </x:c>
      <x:c r="E73" s="48" t="n">
        <x:v>17</x:v>
      </x:c>
      <x:c r="F73" s="48" t="n">
        <x:v>1.2</x:v>
      </x:c>
      <x:c r="G73" s="48" t="n">
        <x:v>0.3</x:v>
      </x:c>
      <x:c r="H73" s="48" t="n">
        <x:v>3.1</x:v>
      </x:c>
      <x:c r="I73" s="49" t="n">
        <x:v>8</x:v>
      </x:c>
      <x:c r="J73" s="47" t="str">
        <x:v>USDA FDC</x:v>
      </x:c>
      <x:c r="K73" s="47"/>
      <x:c r="L73" s="47" t="str">
        <x:v>https://fdc.nal.usda.gov/</x:v>
      </x:c>
    </x:row>
    <x:row r="74">
      <x:c r="A74" s="47" t="str">
        <x:v>VG023</x:v>
      </x:c>
      <x:c r="B74" s="47" t="str">
        <x:v>蔬菜</x:v>
      </x:c>
      <x:c r="C74" s="47" t="str">
        <x:v>蘆筍（熟）</x:v>
      </x:c>
      <x:c r="D74" s="47" t="str">
        <x:v>熟/可食部</x:v>
      </x:c>
      <x:c r="E74" s="48" t="n">
        <x:v>22</x:v>
      </x:c>
      <x:c r="F74" s="48" t="n">
        <x:v>2.4</x:v>
      </x:c>
      <x:c r="G74" s="48" t="n">
        <x:v>0.2</x:v>
      </x:c>
      <x:c r="H74" s="48" t="n">
        <x:v>4.1</x:v>
      </x:c>
      <x:c r="I74" s="49" t="n">
        <x:v>14</x:v>
      </x:c>
      <x:c r="J74" s="47" t="str">
        <x:v>USDA FDC</x:v>
      </x:c>
      <x:c r="K74" s="47"/>
      <x:c r="L74" s="47" t="str">
        <x:v>https://fdc.nal.usda.gov/</x:v>
      </x:c>
    </x:row>
    <x:row r="75">
      <x:c r="A75" s="47" t="str">
        <x:v>VG024</x:v>
      </x:c>
      <x:c r="B75" s="47" t="str">
        <x:v>蔬菜</x:v>
      </x:c>
      <x:c r="C75" s="47" t="str">
        <x:v>蓮藕（熟）</x:v>
      </x:c>
      <x:c r="D75" s="47" t="str">
        <x:v>熟/可食部</x:v>
      </x:c>
      <x:c r="E75" s="48" t="n">
        <x:v>66</x:v>
      </x:c>
      <x:c r="F75" s="48" t="n">
        <x:v>1.6</x:v>
      </x:c>
      <x:c r="G75" s="48" t="n">
        <x:v>0.1</x:v>
      </x:c>
      <x:c r="H75" s="48" t="n">
        <x:v>16</x:v>
      </x:c>
      <x:c r="I75" s="49" t="n">
        <x:v>45</x:v>
      </x:c>
      <x:c r="J75" s="47" t="str">
        <x:v>USDA FDC / Taiwan FDA nutrition DB</x:v>
      </x:c>
      <x:c r="K75" s="47"/>
      <x:c r="L75" s="47" t="str">
        <x:v>https://fdc.nal.usda.gov/ ; https://www.fda.gov.tw/tc/siteList.aspx?sid=284 ; https://consumer.fda.gov.tw/Food/TFND.aspx?nodeID=178</x:v>
      </x:c>
    </x:row>
    <x:row r="76">
      <x:c r="A76" s="47" t="str">
        <x:v>FR001</x:v>
      </x:c>
      <x:c r="B76" s="47" t="str">
        <x:v>水果</x:v>
      </x:c>
      <x:c r="C76" s="47" t="str">
        <x:v>香蕉</x:v>
      </x:c>
      <x:c r="D76" s="47" t="str">
        <x:v>生/可食部</x:v>
      </x:c>
      <x:c r="E76" s="48" t="n">
        <x:v>89</x:v>
      </x:c>
      <x:c r="F76" s="48" t="n">
        <x:v>1.1</x:v>
      </x:c>
      <x:c r="G76" s="48" t="n">
        <x:v>0.3</x:v>
      </x:c>
      <x:c r="H76" s="48" t="n">
        <x:v>22.8</x:v>
      </x:c>
      <x:c r="I76" s="49" t="n">
        <x:v>1</x:v>
      </x:c>
      <x:c r="J76" s="47" t="str">
        <x:v>USDA FDC / Taiwan FDA nutrition DB</x:v>
      </x:c>
      <x:c r="K76" s="47"/>
      <x:c r="L76" s="47" t="str">
        <x:v>https://fdc.nal.usda.gov/ ; https://www.fda.gov.tw/tc/siteList.aspx?sid=284 ; https://consumer.fda.gov.tw/Food/TFND.aspx?nodeID=178</x:v>
      </x:c>
    </x:row>
    <x:row r="77">
      <x:c r="A77" s="47" t="str">
        <x:v>FR002</x:v>
      </x:c>
      <x:c r="B77" s="47" t="str">
        <x:v>水果</x:v>
      </x:c>
      <x:c r="C77" s="47" t="str">
        <x:v>蘋果</x:v>
      </x:c>
      <x:c r="D77" s="47" t="str">
        <x:v>生/可食部</x:v>
      </x:c>
      <x:c r="E77" s="48" t="n">
        <x:v>52</x:v>
      </x:c>
      <x:c r="F77" s="48" t="n">
        <x:v>0.3</x:v>
      </x:c>
      <x:c r="G77" s="48" t="n">
        <x:v>0.2</x:v>
      </x:c>
      <x:c r="H77" s="48" t="n">
        <x:v>13.8</x:v>
      </x:c>
      <x:c r="I77" s="49" t="n">
        <x:v>1</x:v>
      </x:c>
      <x:c r="J77" s="47" t="str">
        <x:v>USDA FDC</x:v>
      </x:c>
      <x:c r="K77" s="47"/>
      <x:c r="L77" s="47" t="str">
        <x:v>https://fdc.nal.usda.gov/</x:v>
      </x:c>
    </x:row>
    <x:row r="78">
      <x:c r="A78" s="47" t="str">
        <x:v>FR003</x:v>
      </x:c>
      <x:c r="B78" s="47" t="str">
        <x:v>水果</x:v>
      </x:c>
      <x:c r="C78" s="47" t="str">
        <x:v>芭樂</x:v>
      </x:c>
      <x:c r="D78" s="47" t="str">
        <x:v>生/可食部</x:v>
      </x:c>
      <x:c r="E78" s="48" t="n">
        <x:v>68</x:v>
      </x:c>
      <x:c r="F78" s="48" t="n">
        <x:v>2.6</x:v>
      </x:c>
      <x:c r="G78" s="48" t="n">
        <x:v>1</x:v>
      </x:c>
      <x:c r="H78" s="48" t="n">
        <x:v>14.3</x:v>
      </x:c>
      <x:c r="I78" s="49" t="n">
        <x:v>2</x:v>
      </x:c>
      <x:c r="J78" s="47" t="str">
        <x:v>USDA FDC / Taiwan FDA nutrition DB</x:v>
      </x:c>
      <x:c r="K78" s="47"/>
      <x:c r="L78" s="47" t="str">
        <x:v>https://fdc.nal.usda.gov/ ; https://www.fda.gov.tw/tc/siteList.aspx?sid=284 ; https://consumer.fda.gov.tw/Food/TFND.aspx?nodeID=178</x:v>
      </x:c>
    </x:row>
    <x:row r="79">
      <x:c r="A79" s="47" t="str">
        <x:v>FR004</x:v>
      </x:c>
      <x:c r="B79" s="47" t="str">
        <x:v>水果</x:v>
      </x:c>
      <x:c r="C79" s="47" t="str">
        <x:v>奇異果</x:v>
      </x:c>
      <x:c r="D79" s="47" t="str">
        <x:v>生/可食部</x:v>
      </x:c>
      <x:c r="E79" s="48" t="n">
        <x:v>61</x:v>
      </x:c>
      <x:c r="F79" s="48" t="n">
        <x:v>1.1</x:v>
      </x:c>
      <x:c r="G79" s="48" t="n">
        <x:v>0.5</x:v>
      </x:c>
      <x:c r="H79" s="48" t="n">
        <x:v>14.7</x:v>
      </x:c>
      <x:c r="I79" s="49" t="n">
        <x:v>3</x:v>
      </x:c>
      <x:c r="J79" s="47" t="str">
        <x:v>USDA FDC</x:v>
      </x:c>
      <x:c r="K79" s="47"/>
      <x:c r="L79" s="47" t="str">
        <x:v>https://fdc.nal.usda.gov/</x:v>
      </x:c>
    </x:row>
    <x:row r="80">
      <x:c r="A80" s="47" t="str">
        <x:v>FR005</x:v>
      </x:c>
      <x:c r="B80" s="47" t="str">
        <x:v>水果</x:v>
      </x:c>
      <x:c r="C80" s="47" t="str">
        <x:v>柳橙</x:v>
      </x:c>
      <x:c r="D80" s="47" t="str">
        <x:v>生/可食部</x:v>
      </x:c>
      <x:c r="E80" s="48" t="n">
        <x:v>47</x:v>
      </x:c>
      <x:c r="F80" s="48" t="n">
        <x:v>0.9</x:v>
      </x:c>
      <x:c r="G80" s="48" t="n">
        <x:v>0.1</x:v>
      </x:c>
      <x:c r="H80" s="48" t="n">
        <x:v>11.8</x:v>
      </x:c>
      <x:c r="I80" s="49" t="n">
        <x:v>0</x:v>
      </x:c>
      <x:c r="J80" s="47" t="str">
        <x:v>USDA FDC</x:v>
      </x:c>
      <x:c r="K80" s="47"/>
      <x:c r="L80" s="47" t="str">
        <x:v>https://fdc.nal.usda.gov/</x:v>
      </x:c>
    </x:row>
    <x:row r="81">
      <x:c r="A81" s="47" t="str">
        <x:v>FR006</x:v>
      </x:c>
      <x:c r="B81" s="47" t="str">
        <x:v>水果</x:v>
      </x:c>
      <x:c r="C81" s="47" t="str">
        <x:v>芒果</x:v>
      </x:c>
      <x:c r="D81" s="47" t="str">
        <x:v>生/可食部</x:v>
      </x:c>
      <x:c r="E81" s="48" t="n">
        <x:v>60</x:v>
      </x:c>
      <x:c r="F81" s="48" t="n">
        <x:v>0.8</x:v>
      </x:c>
      <x:c r="G81" s="48" t="n">
        <x:v>0.4</x:v>
      </x:c>
      <x:c r="H81" s="48" t="n">
        <x:v>15</x:v>
      </x:c>
      <x:c r="I81" s="49" t="n">
        <x:v>1</x:v>
      </x:c>
      <x:c r="J81" s="47" t="str">
        <x:v>USDA FDC</x:v>
      </x:c>
      <x:c r="K81" s="47"/>
      <x:c r="L81" s="47" t="str">
        <x:v>https://fdc.nal.usda.gov/</x:v>
      </x:c>
    </x:row>
    <x:row r="82">
      <x:c r="A82" s="47" t="str">
        <x:v>FR007</x:v>
      </x:c>
      <x:c r="B82" s="47" t="str">
        <x:v>水果</x:v>
      </x:c>
      <x:c r="C82" s="47" t="str">
        <x:v>鳳梨</x:v>
      </x:c>
      <x:c r="D82" s="47" t="str">
        <x:v>生/可食部</x:v>
      </x:c>
      <x:c r="E82" s="48" t="n">
        <x:v>50</x:v>
      </x:c>
      <x:c r="F82" s="48" t="n">
        <x:v>0.5</x:v>
      </x:c>
      <x:c r="G82" s="48" t="n">
        <x:v>0.1</x:v>
      </x:c>
      <x:c r="H82" s="48" t="n">
        <x:v>13.1</x:v>
      </x:c>
      <x:c r="I82" s="49" t="n">
        <x:v>1</x:v>
      </x:c>
      <x:c r="J82" s="47" t="str">
        <x:v>USDA FDC</x:v>
      </x:c>
      <x:c r="K82" s="47"/>
      <x:c r="L82" s="47" t="str">
        <x:v>https://fdc.nal.usda.gov/</x:v>
      </x:c>
    </x:row>
    <x:row r="83">
      <x:c r="A83" s="47" t="str">
        <x:v>FR008</x:v>
      </x:c>
      <x:c r="B83" s="47" t="str">
        <x:v>水果</x:v>
      </x:c>
      <x:c r="C83" s="47" t="str">
        <x:v>西瓜</x:v>
      </x:c>
      <x:c r="D83" s="47" t="str">
        <x:v>生/可食部</x:v>
      </x:c>
      <x:c r="E83" s="48" t="n">
        <x:v>30</x:v>
      </x:c>
      <x:c r="F83" s="48" t="n">
        <x:v>0.6</x:v>
      </x:c>
      <x:c r="G83" s="48" t="n">
        <x:v>0.2</x:v>
      </x:c>
      <x:c r="H83" s="48" t="n">
        <x:v>7.6</x:v>
      </x:c>
      <x:c r="I83" s="49" t="n">
        <x:v>1</x:v>
      </x:c>
      <x:c r="J83" s="47" t="str">
        <x:v>USDA FDC</x:v>
      </x:c>
      <x:c r="K83" s="47"/>
      <x:c r="L83" s="47" t="str">
        <x:v>https://fdc.nal.usda.gov/</x:v>
      </x:c>
    </x:row>
    <x:row r="84">
      <x:c r="A84" s="47" t="str">
        <x:v>FR009</x:v>
      </x:c>
      <x:c r="B84" s="47" t="str">
        <x:v>水果</x:v>
      </x:c>
      <x:c r="C84" s="47" t="str">
        <x:v>木瓜</x:v>
      </x:c>
      <x:c r="D84" s="47" t="str">
        <x:v>生/可食部</x:v>
      </x:c>
      <x:c r="E84" s="48" t="n">
        <x:v>43</x:v>
      </x:c>
      <x:c r="F84" s="48" t="n">
        <x:v>0.5</x:v>
      </x:c>
      <x:c r="G84" s="48" t="n">
        <x:v>0.3</x:v>
      </x:c>
      <x:c r="H84" s="48" t="n">
        <x:v>10.8</x:v>
      </x:c>
      <x:c r="I84" s="49" t="n">
        <x:v>8</x:v>
      </x:c>
      <x:c r="J84" s="47" t="str">
        <x:v>USDA FDC</x:v>
      </x:c>
      <x:c r="K84" s="47"/>
      <x:c r="L84" s="47" t="str">
        <x:v>https://fdc.nal.usda.gov/</x:v>
      </x:c>
    </x:row>
    <x:row r="85">
      <x:c r="A85" s="47" t="str">
        <x:v>FR010</x:v>
      </x:c>
      <x:c r="B85" s="47" t="str">
        <x:v>水果</x:v>
      </x:c>
      <x:c r="C85" s="47" t="str">
        <x:v>葡萄</x:v>
      </x:c>
      <x:c r="D85" s="47" t="str">
        <x:v>生/可食部</x:v>
      </x:c>
      <x:c r="E85" s="48" t="n">
        <x:v>69</x:v>
      </x:c>
      <x:c r="F85" s="48" t="n">
        <x:v>0.7</x:v>
      </x:c>
      <x:c r="G85" s="48" t="n">
        <x:v>0.2</x:v>
      </x:c>
      <x:c r="H85" s="48" t="n">
        <x:v>18.1</x:v>
      </x:c>
      <x:c r="I85" s="49" t="n">
        <x:v>2</x:v>
      </x:c>
      <x:c r="J85" s="47" t="str">
        <x:v>USDA FDC</x:v>
      </x:c>
      <x:c r="K85" s="47"/>
      <x:c r="L85" s="47" t="str">
        <x:v>https://fdc.nal.usda.gov/</x:v>
      </x:c>
    </x:row>
    <x:row r="86">
      <x:c r="A86" s="47" t="str">
        <x:v>FR011</x:v>
      </x:c>
      <x:c r="B86" s="47" t="str">
        <x:v>水果</x:v>
      </x:c>
      <x:c r="C86" s="47" t="str">
        <x:v>草莓</x:v>
      </x:c>
      <x:c r="D86" s="47" t="str">
        <x:v>生/可食部</x:v>
      </x:c>
      <x:c r="E86" s="48" t="n">
        <x:v>32</x:v>
      </x:c>
      <x:c r="F86" s="48" t="n">
        <x:v>0.7</x:v>
      </x:c>
      <x:c r="G86" s="48" t="n">
        <x:v>0.3</x:v>
      </x:c>
      <x:c r="H86" s="48" t="n">
        <x:v>7.7</x:v>
      </x:c>
      <x:c r="I86" s="49" t="n">
        <x:v>1</x:v>
      </x:c>
      <x:c r="J86" s="47" t="str">
        <x:v>USDA FDC</x:v>
      </x:c>
      <x:c r="K86" s="47"/>
      <x:c r="L86" s="47" t="str">
        <x:v>https://fdc.nal.usda.gov/</x:v>
      </x:c>
    </x:row>
    <x:row r="87">
      <x:c r="A87" s="47" t="str">
        <x:v>FR012</x:v>
      </x:c>
      <x:c r="B87" s="47" t="str">
        <x:v>水果</x:v>
      </x:c>
      <x:c r="C87" s="47" t="str">
        <x:v>藍莓</x:v>
      </x:c>
      <x:c r="D87" s="47" t="str">
        <x:v>生/可食部</x:v>
      </x:c>
      <x:c r="E87" s="48" t="n">
        <x:v>57</x:v>
      </x:c>
      <x:c r="F87" s="48" t="n">
        <x:v>0.7</x:v>
      </x:c>
      <x:c r="G87" s="48" t="n">
        <x:v>0.3</x:v>
      </x:c>
      <x:c r="H87" s="48" t="n">
        <x:v>14.5</x:v>
      </x:c>
      <x:c r="I87" s="49" t="n">
        <x:v>1</x:v>
      </x:c>
      <x:c r="J87" s="47" t="str">
        <x:v>USDA FDC</x:v>
      </x:c>
      <x:c r="K87" s="47"/>
      <x:c r="L87" s="47" t="str">
        <x:v>https://fdc.nal.usda.gov/</x:v>
      </x:c>
    </x:row>
    <x:row r="88">
      <x:c r="A88" s="47" t="str">
        <x:v>FR013</x:v>
      </x:c>
      <x:c r="B88" s="47" t="str">
        <x:v>水果</x:v>
      </x:c>
      <x:c r="C88" s="47" t="str">
        <x:v>酪梨</x:v>
      </x:c>
      <x:c r="D88" s="47" t="str">
        <x:v>生/可食部</x:v>
      </x:c>
      <x:c r="E88" s="48" t="n">
        <x:v>160</x:v>
      </x:c>
      <x:c r="F88" s="48" t="n">
        <x:v>2</x:v>
      </x:c>
      <x:c r="G88" s="48" t="n">
        <x:v>14.7</x:v>
      </x:c>
      <x:c r="H88" s="48" t="n">
        <x:v>8.5</x:v>
      </x:c>
      <x:c r="I88" s="49" t="n">
        <x:v>7</x:v>
      </x:c>
      <x:c r="J88" s="47" t="str">
        <x:v>USDA FDC</x:v>
      </x:c>
      <x:c r="K88" s="47" t="str">
        <x:v>高脂水果</x:v>
      </x:c>
      <x:c r="L88" s="47" t="str">
        <x:v>https://fdc.nal.usda.gov/</x:v>
      </x:c>
    </x:row>
    <x:row r="89">
      <x:c r="A89" s="47" t="str">
        <x:v>FR014</x:v>
      </x:c>
      <x:c r="B89" s="47" t="str">
        <x:v>水果</x:v>
      </x:c>
      <x:c r="C89" s="47" t="str">
        <x:v>水梨</x:v>
      </x:c>
      <x:c r="D89" s="47" t="str">
        <x:v>生/可食部</x:v>
      </x:c>
      <x:c r="E89" s="48" t="n">
        <x:v>57</x:v>
      </x:c>
      <x:c r="F89" s="48" t="n">
        <x:v>0.4</x:v>
      </x:c>
      <x:c r="G89" s="48" t="n">
        <x:v>0.1</x:v>
      </x:c>
      <x:c r="H89" s="48" t="n">
        <x:v>15.2</x:v>
      </x:c>
      <x:c r="I89" s="49" t="n">
        <x:v>1</x:v>
      </x:c>
      <x:c r="J89" s="47" t="str">
        <x:v>USDA FDC</x:v>
      </x:c>
      <x:c r="K89" s="47"/>
      <x:c r="L89" s="47" t="str">
        <x:v>https://fdc.nal.usda.gov/</x:v>
      </x:c>
    </x:row>
    <x:row r="90">
      <x:c r="A90" s="47" t="str">
        <x:v>FR015</x:v>
      </x:c>
      <x:c r="B90" s="47" t="str">
        <x:v>水果</x:v>
      </x:c>
      <x:c r="C90" s="47" t="str">
        <x:v>火龍果</x:v>
      </x:c>
      <x:c r="D90" s="47" t="str">
        <x:v>生/可食部</x:v>
      </x:c>
      <x:c r="E90" s="48" t="n">
        <x:v>57</x:v>
      </x:c>
      <x:c r="F90" s="48" t="n">
        <x:v>1.1</x:v>
      </x:c>
      <x:c r="G90" s="48" t="n">
        <x:v>0.1</x:v>
      </x:c>
      <x:c r="H90" s="48" t="n">
        <x:v>13</x:v>
      </x:c>
      <x:c r="I90" s="49" t="n">
        <x:v>0</x:v>
      </x:c>
      <x:c r="J90" s="47" t="str">
        <x:v>Taiwan FDA nutrition DB / estimate</x:v>
      </x:c>
      <x:c r="K90" s="47" t="str">
        <x:v>紅白肉品種略有差異</x:v>
      </x:c>
      <x:c r="L90" s="47" t="str">
        <x:v>https://www.fda.gov.tw/tc/siteList.aspx?sid=284 ; https://consumer.fda.gov.tw/Food/TFND.aspx?nodeID=178</x:v>
      </x:c>
    </x:row>
    <x:row r="91">
      <x:c r="A91" s="47" t="str">
        <x:v>FR016</x:v>
      </x:c>
      <x:c r="B91" s="47" t="str">
        <x:v>水果</x:v>
      </x:c>
      <x:c r="C91" s="47" t="str">
        <x:v>柚子</x:v>
      </x:c>
      <x:c r="D91" s="47" t="str">
        <x:v>生/可食部</x:v>
      </x:c>
      <x:c r="E91" s="48" t="n">
        <x:v>38</x:v>
      </x:c>
      <x:c r="F91" s="48" t="n">
        <x:v>0.8</x:v>
      </x:c>
      <x:c r="G91" s="48" t="n">
        <x:v>0</x:v>
      </x:c>
      <x:c r="H91" s="48" t="n">
        <x:v>9.6</x:v>
      </x:c>
      <x:c r="I91" s="49" t="n">
        <x:v>1</x:v>
      </x:c>
      <x:c r="J91" s="47" t="str">
        <x:v>USDA FDC / Taiwan FDA nutrition DB</x:v>
      </x:c>
      <x:c r="K91" s="47"/>
      <x:c r="L91" s="47" t="str">
        <x:v>https://fdc.nal.usda.gov/ ; https://www.fda.gov.tw/tc/siteList.aspx?sid=284 ; https://consumer.fda.gov.tw/Food/TFND.aspx?nodeID=178</x:v>
      </x:c>
    </x:row>
    <x:row r="92">
      <x:c r="A92" s="47" t="str">
        <x:v>NS001</x:v>
      </x:c>
      <x:c r="B92" s="47" t="str">
        <x:v>堅果/種子</x:v>
      </x:c>
      <x:c r="C92" s="47" t="str">
        <x:v>杏仁</x:v>
      </x:c>
      <x:c r="D92" s="47" t="str">
        <x:v>乾/可食部</x:v>
      </x:c>
      <x:c r="E92" s="48" t="n">
        <x:v>579</x:v>
      </x:c>
      <x:c r="F92" s="48" t="n">
        <x:v>21.2</x:v>
      </x:c>
      <x:c r="G92" s="48" t="n">
        <x:v>49.9</x:v>
      </x:c>
      <x:c r="H92" s="48" t="n">
        <x:v>21.6</x:v>
      </x:c>
      <x:c r="I92" s="49" t="n">
        <x:v>1</x:v>
      </x:c>
      <x:c r="J92" s="47" t="str">
        <x:v>USDA FDC</x:v>
      </x:c>
      <x:c r="K92" s="47" t="str">
        <x:v>無調味</x:v>
      </x:c>
      <x:c r="L92" s="47" t="str">
        <x:v>https://fdc.nal.usda.gov/</x:v>
      </x:c>
    </x:row>
    <x:row r="93">
      <x:c r="A93" s="47" t="str">
        <x:v>NS002</x:v>
      </x:c>
      <x:c r="B93" s="47" t="str">
        <x:v>堅果/種子</x:v>
      </x:c>
      <x:c r="C93" s="47" t="str">
        <x:v>核桃</x:v>
      </x:c>
      <x:c r="D93" s="47" t="str">
        <x:v>乾/可食部</x:v>
      </x:c>
      <x:c r="E93" s="48" t="n">
        <x:v>654</x:v>
      </x:c>
      <x:c r="F93" s="48" t="n">
        <x:v>15.2</x:v>
      </x:c>
      <x:c r="G93" s="48" t="n">
        <x:v>65.2</x:v>
      </x:c>
      <x:c r="H93" s="48" t="n">
        <x:v>13.7</x:v>
      </x:c>
      <x:c r="I93" s="49" t="n">
        <x:v>2</x:v>
      </x:c>
      <x:c r="J93" s="47" t="str">
        <x:v>USDA FDC</x:v>
      </x:c>
      <x:c r="K93" s="47" t="str">
        <x:v>無調味</x:v>
      </x:c>
      <x:c r="L93" s="47" t="str">
        <x:v>https://fdc.nal.usda.gov/</x:v>
      </x:c>
    </x:row>
    <x:row r="94">
      <x:c r="A94" s="47" t="str">
        <x:v>NS003</x:v>
      </x:c>
      <x:c r="B94" s="47" t="str">
        <x:v>堅果/種子</x:v>
      </x:c>
      <x:c r="C94" s="47" t="str">
        <x:v>腰果</x:v>
      </x:c>
      <x:c r="D94" s="47" t="str">
        <x:v>乾/可食部</x:v>
      </x:c>
      <x:c r="E94" s="48" t="n">
        <x:v>553</x:v>
      </x:c>
      <x:c r="F94" s="48" t="n">
        <x:v>18.2</x:v>
      </x:c>
      <x:c r="G94" s="48" t="n">
        <x:v>43.9</x:v>
      </x:c>
      <x:c r="H94" s="48" t="n">
        <x:v>30.2</x:v>
      </x:c>
      <x:c r="I94" s="49" t="n">
        <x:v>12</x:v>
      </x:c>
      <x:c r="J94" s="47" t="str">
        <x:v>USDA FDC</x:v>
      </x:c>
      <x:c r="K94" s="47" t="str">
        <x:v>無調味</x:v>
      </x:c>
      <x:c r="L94" s="47" t="str">
        <x:v>https://fdc.nal.usda.gov/</x:v>
      </x:c>
    </x:row>
    <x:row r="95">
      <x:c r="A95" s="47" t="str">
        <x:v>NS004</x:v>
      </x:c>
      <x:c r="B95" s="47" t="str">
        <x:v>堅果/種子</x:v>
      </x:c>
      <x:c r="C95" s="47" t="str">
        <x:v>花生</x:v>
      </x:c>
      <x:c r="D95" s="47" t="str">
        <x:v>乾/可食部</x:v>
      </x:c>
      <x:c r="E95" s="48" t="n">
        <x:v>567</x:v>
      </x:c>
      <x:c r="F95" s="48" t="n">
        <x:v>25.8</x:v>
      </x:c>
      <x:c r="G95" s="48" t="n">
        <x:v>49.2</x:v>
      </x:c>
      <x:c r="H95" s="48" t="n">
        <x:v>16.1</x:v>
      </x:c>
      <x:c r="I95" s="49" t="n">
        <x:v>18</x:v>
      </x:c>
      <x:c r="J95" s="47" t="str">
        <x:v>USDA FDC</x:v>
      </x:c>
      <x:c r="K95" s="47" t="str">
        <x:v>無調味</x:v>
      </x:c>
      <x:c r="L95" s="47" t="str">
        <x:v>https://fdc.nal.usda.gov/</x:v>
      </x:c>
    </x:row>
    <x:row r="96">
      <x:c r="A96" s="47" t="str">
        <x:v>NS005</x:v>
      </x:c>
      <x:c r="B96" s="47" t="str">
        <x:v>堅果/種子</x:v>
      </x:c>
      <x:c r="C96" s="47" t="str">
        <x:v>芝麻</x:v>
      </x:c>
      <x:c r="D96" s="47" t="str">
        <x:v>乾/可食部</x:v>
      </x:c>
      <x:c r="E96" s="48" t="n">
        <x:v>573</x:v>
      </x:c>
      <x:c r="F96" s="48" t="n">
        <x:v>17.7</x:v>
      </x:c>
      <x:c r="G96" s="48" t="n">
        <x:v>49.7</x:v>
      </x:c>
      <x:c r="H96" s="48" t="n">
        <x:v>23.4</x:v>
      </x:c>
      <x:c r="I96" s="49" t="n">
        <x:v>11</x:v>
      </x:c>
      <x:c r="J96" s="47" t="str">
        <x:v>USDA FDC</x:v>
      </x:c>
      <x:c r="K96" s="47"/>
      <x:c r="L96" s="47" t="str">
        <x:v>https://fdc.nal.usda.gov/</x:v>
      </x:c>
    </x:row>
    <x:row r="97">
      <x:c r="A97" s="47" t="str">
        <x:v>NS006</x:v>
      </x:c>
      <x:c r="B97" s="47" t="str">
        <x:v>堅果/種子</x:v>
      </x:c>
      <x:c r="C97" s="47" t="str">
        <x:v>奇亞籽</x:v>
      </x:c>
      <x:c r="D97" s="47" t="str">
        <x:v>乾/可食部</x:v>
      </x:c>
      <x:c r="E97" s="48" t="n">
        <x:v>486</x:v>
      </x:c>
      <x:c r="F97" s="48" t="n">
        <x:v>16.5</x:v>
      </x:c>
      <x:c r="G97" s="48" t="n">
        <x:v>30.7</x:v>
      </x:c>
      <x:c r="H97" s="48" t="n">
        <x:v>42.1</x:v>
      </x:c>
      <x:c r="I97" s="49" t="n">
        <x:v>16</x:v>
      </x:c>
      <x:c r="J97" s="47" t="str">
        <x:v>USDA FDC</x:v>
      </x:c>
      <x:c r="K97" s="47"/>
      <x:c r="L97" s="47" t="str">
        <x:v>https://fdc.nal.usda.gov/</x:v>
      </x:c>
    </x:row>
    <x:row r="98">
      <x:c r="A98" s="47" t="str">
        <x:v>NS007</x:v>
      </x:c>
      <x:c r="B98" s="47" t="str">
        <x:v>堅果/種子</x:v>
      </x:c>
      <x:c r="C98" s="47" t="str">
        <x:v>亞麻籽</x:v>
      </x:c>
      <x:c r="D98" s="47" t="str">
        <x:v>乾/可食部</x:v>
      </x:c>
      <x:c r="E98" s="48" t="n">
        <x:v>534</x:v>
      </x:c>
      <x:c r="F98" s="48" t="n">
        <x:v>18.3</x:v>
      </x:c>
      <x:c r="G98" s="48" t="n">
        <x:v>42.2</x:v>
      </x:c>
      <x:c r="H98" s="48" t="n">
        <x:v>28.9</x:v>
      </x:c>
      <x:c r="I98" s="49" t="n">
        <x:v>30</x:v>
      </x:c>
      <x:c r="J98" s="47" t="str">
        <x:v>USDA FDC</x:v>
      </x:c>
      <x:c r="K98" s="47"/>
      <x:c r="L98" s="47" t="str">
        <x:v>https://fdc.nal.usda.gov/</x:v>
      </x:c>
    </x:row>
    <x:row r="99">
      <x:c r="A99" s="47" t="str">
        <x:v>OI001</x:v>
      </x:c>
      <x:c r="B99" s="47" t="str">
        <x:v>油脂</x:v>
      </x:c>
      <x:c r="C99" s="47" t="str">
        <x:v>橄欖油</x:v>
      </x:c>
      <x:c r="D99" s="47" t="str">
        <x:v>可食部</x:v>
      </x:c>
      <x:c r="E99" s="48" t="n">
        <x:v>884</x:v>
      </x:c>
      <x:c r="F99" s="48" t="n">
        <x:v>0</x:v>
      </x:c>
      <x:c r="G99" s="48" t="n">
        <x:v>100</x:v>
      </x:c>
      <x:c r="H99" s="48" t="n">
        <x:v>0</x:v>
      </x:c>
      <x:c r="I99" s="49" t="n">
        <x:v>2</x:v>
      </x:c>
      <x:c r="J99" s="47" t="str">
        <x:v>USDA FDC</x:v>
      </x:c>
      <x:c r="K99" s="47" t="str">
        <x:v>油脂建議走 Oil_Rules，不要讓用戶直接選</x:v>
      </x:c>
      <x:c r="L99" s="47" t="str">
        <x:v>https://fdc.nal.usda.gov/</x:v>
      </x:c>
    </x:row>
    <x:row r="100">
      <x:c r="A100" s="47" t="str">
        <x:v>OI002</x:v>
      </x:c>
      <x:c r="B100" s="47" t="str">
        <x:v>油脂</x:v>
      </x:c>
      <x:c r="C100" s="47" t="str">
        <x:v>芥花油</x:v>
      </x:c>
      <x:c r="D100" s="47" t="str">
        <x:v>可食部</x:v>
      </x:c>
      <x:c r="E100" s="48" t="n">
        <x:v>884</x:v>
      </x:c>
      <x:c r="F100" s="48" t="n">
        <x:v>0</x:v>
      </x:c>
      <x:c r="G100" s="48" t="n">
        <x:v>100</x:v>
      </x:c>
      <x:c r="H100" s="48" t="n">
        <x:v>0</x:v>
      </x:c>
      <x:c r="I100" s="49" t="n">
        <x:v>0</x:v>
      </x:c>
      <x:c r="J100" s="47" t="str">
        <x:v>USDA FDC</x:v>
      </x:c>
      <x:c r="K100" s="47" t="str">
        <x:v>油脂建議走 Oil_Rules，不要讓用戶直接選</x:v>
      </x:c>
      <x:c r="L100" s="47" t="str">
        <x:v>https://fdc.nal.usda.gov/</x:v>
      </x:c>
    </x:row>
    <x:row r="101">
      <x:c r="A101" s="47" t="str">
        <x:v>OI003</x:v>
      </x:c>
      <x:c r="B101" s="47" t="str">
        <x:v>油脂</x:v>
      </x:c>
      <x:c r="C101" s="47" t="str">
        <x:v>沙拉油/大豆油</x:v>
      </x:c>
      <x:c r="D101" s="47" t="str">
        <x:v>可食部</x:v>
      </x:c>
      <x:c r="E101" s="48" t="n">
        <x:v>884</x:v>
      </x:c>
      <x:c r="F101" s="48" t="n">
        <x:v>0</x:v>
      </x:c>
      <x:c r="G101" s="48" t="n">
        <x:v>100</x:v>
      </x:c>
      <x:c r="H101" s="48" t="n">
        <x:v>0</x:v>
      </x:c>
      <x:c r="I101" s="49" t="n">
        <x:v>0</x:v>
      </x:c>
      <x:c r="J101" s="47" t="str">
        <x:v>USDA FDC</x:v>
      </x:c>
      <x:c r="K101" s="47" t="str">
        <x:v>油脂建議走 Oil_Rules，不要讓用戶直接選</x:v>
      </x:c>
      <x:c r="L101" s="47" t="str">
        <x:v>https://fdc.nal.usda.gov/</x:v>
      </x:c>
    </x:row>
    <x:row r="102">
      <x:c r="A102" s="47" t="str">
        <x:v>OT001</x:v>
      </x:c>
      <x:c r="B102" s="47" t="str">
        <x:v>其他原形/常用</x:v>
      </x:c>
      <x:c r="C102" s="47" t="str">
        <x:v>蒟蒻</x:v>
      </x:c>
      <x:c r="D102" s="47" t="str">
        <x:v>可食部</x:v>
      </x:c>
      <x:c r="E102" s="48" t="n">
        <x:v>7</x:v>
      </x:c>
      <x:c r="F102" s="48" t="n">
        <x:v>0</x:v>
      </x:c>
      <x:c r="G102" s="48" t="n">
        <x:v>0</x:v>
      </x:c>
      <x:c r="H102" s="48" t="n">
        <x:v>3</x:v>
      </x:c>
      <x:c r="I102" s="49" t="n">
        <x:v>10</x:v>
      </x:c>
      <x:c r="J102" s="47" t="str">
        <x:v>Taiwan FDA nutrition DB / estimate</x:v>
      </x:c>
      <x:c r="K102" s="47" t="str">
        <x:v>加工品常含鈉，需看標示</x:v>
      </x:c>
      <x:c r="L102" s="47" t="str">
        <x:v>https://www.fda.gov.tw/tc/siteList.aspx?sid=284 ; https://consumer.fda.gov.tw/Food/TFND.aspx?nodeID=178</x:v>
      </x:c>
    </x:row>
    <x:row r="103">
      <x:c r="A103" s="47" t="str">
        <x:v>OT002</x:v>
      </x:c>
      <x:c r="B103" s="47" t="str">
        <x:v>其他原形/常用</x:v>
      </x:c>
      <x:c r="C103" s="47" t="str">
        <x:v>海苔（無調味）</x:v>
      </x:c>
      <x:c r="D103" s="47" t="str">
        <x:v>乾/可食部</x:v>
      </x:c>
      <x:c r="E103" s="48" t="n">
        <x:v>306</x:v>
      </x:c>
      <x:c r="F103" s="48" t="n">
        <x:v>41.4</x:v>
      </x:c>
      <x:c r="G103" s="48" t="n">
        <x:v>3.7</x:v>
      </x:c>
      <x:c r="H103" s="48" t="n">
        <x:v>44.3</x:v>
      </x:c>
      <x:c r="I103" s="49" t="n">
        <x:v>48</x:v>
      </x:c>
      <x:c r="J103" s="47" t="str">
        <x:v>USDA FDC / estimate</x:v>
      </x:c>
      <x:c r="K103" s="47" t="str">
        <x:v>重量通常很小</x:v>
      </x:c>
      <x:c r="L103" s="47" t="str">
        <x:v>https://fdc.nal.usda.gov/</x:v>
      </x:c>
    </x:row>
    <x:row r="104">
      <x:c r="A104" s="47" t="str">
        <x:v>OT003</x:v>
      </x:c>
      <x:c r="B104" s="47" t="str">
        <x:v>其他原形/常用</x:v>
      </x:c>
      <x:c r="C104" s="47" t="str">
        <x:v>蜂蜜</x:v>
      </x:c>
      <x:c r="D104" s="47" t="str">
        <x:v>可食部</x:v>
      </x:c>
      <x:c r="E104" s="48" t="n">
        <x:v>304</x:v>
      </x:c>
      <x:c r="F104" s="48" t="n">
        <x:v>0.3</x:v>
      </x:c>
      <x:c r="G104" s="48" t="n">
        <x:v>0</x:v>
      </x:c>
      <x:c r="H104" s="48" t="n">
        <x:v>82.4</x:v>
      </x:c>
      <x:c r="I104" s="49" t="n">
        <x:v>4</x:v>
      </x:c>
      <x:c r="J104" s="47" t="str">
        <x:v>USDA FDC</x:v>
      </x:c>
      <x:c r="K104" s="47" t="str">
        <x:v>不是減脂主食，但可作醬汁/糖源</x:v>
      </x:c>
      <x:c r="L104" s="47" t="str">
        <x:v>https://fdc.nal.usda.gov/</x:v>
      </x:c>
    </x:row>
    <x:row r="105">
      <x:c r="A105" s="47" t="str">
        <x:v>ST016</x:v>
      </x:c>
      <x:c r="B105" s="47" t="str">
        <x:v>主食/澱粉</x:v>
      </x:c>
      <x:c r="C105" s="47" t="str">
        <x:v>稀飯（白粥）</x:v>
      </x:c>
      <x:c r="D105" s="47" t="str">
        <x:v>熟/可食部</x:v>
      </x:c>
      <x:c r="E105" s="48" t="n">
        <x:v>46</x:v>
      </x:c>
      <x:c r="F105" s="48" t="n">
        <x:v>0.9</x:v>
      </x:c>
      <x:c r="G105" s="48" t="n">
        <x:v>0.1</x:v>
      </x:c>
      <x:c r="H105" s="48" t="n">
        <x:v>10.2</x:v>
      </x:c>
      <x:c r="I105" s="49" t="n">
        <x:v>1</x:v>
      </x:c>
      <x:c r="J105" s="47" t="str">
        <x:v>USDA FDC / Taiwan FDA / estimate</x:v>
      </x:c>
      <x:c r="K105" s="47" t="str">
        <x:v>以清水白粥估算，濃稀差異大</x:v>
      </x:c>
      <x:c r="L105" s="47" t="str">
        <x:v>https://fdc.nal.usda.gov/ ; https://www.fda.gov.tw/tc/siteList.aspx?sid=284 ; https://consumer.fda.gov.tw/Food/TFND.aspx?nodeID=178</x:v>
      </x:c>
    </x:row>
    <x:row r="106">
      <x:c r="A106" s="47" t="str">
        <x:v>ST017</x:v>
      </x:c>
      <x:c r="B106" s="47" t="str">
        <x:v>主食/澱粉</x:v>
      </x:c>
      <x:c r="C106" s="47" t="str">
        <x:v>糙米粥</x:v>
      </x:c>
      <x:c r="D106" s="47" t="str">
        <x:v>熟/可食部</x:v>
      </x:c>
      <x:c r="E106" s="48" t="n">
        <x:v>55</x:v>
      </x:c>
      <x:c r="F106" s="48" t="n">
        <x:v>1.2</x:v>
      </x:c>
      <x:c r="G106" s="48" t="n">
        <x:v>0.4</x:v>
      </x:c>
      <x:c r="H106" s="48" t="n">
        <x:v>11.5</x:v>
      </x:c>
      <x:c r="I106" s="49" t="n">
        <x:v>2</x:v>
      </x:c>
      <x:c r="J106" s="47" t="str">
        <x:v>USDA FDC / Taiwan FDA / estimate</x:v>
      </x:c>
      <x:c r="K106" s="47"/>
      <x:c r="L106" s="47" t="str">
        <x:v>https://fdc.nal.usda.gov/ ; https://www.fda.gov.tw/tc/siteList.aspx?sid=284 ; https://consumer.fda.gov.tw/Food/TFND.aspx?nodeID=178</x:v>
      </x:c>
    </x:row>
    <x:row r="107">
      <x:c r="A107" s="47" t="str">
        <x:v>ST018</x:v>
      </x:c>
      <x:c r="B107" s="47" t="str">
        <x:v>主食/澱粉</x:v>
      </x:c>
      <x:c r="C107" s="47" t="str">
        <x:v>紫米飯（熟）</x:v>
      </x:c>
      <x:c r="D107" s="47" t="str">
        <x:v>熟/可食部</x:v>
      </x:c>
      <x:c r="E107" s="48" t="n">
        <x:v>150</x:v>
      </x:c>
      <x:c r="F107" s="48" t="n">
        <x:v>3.2</x:v>
      </x:c>
      <x:c r="G107" s="48" t="n">
        <x:v>1.1</x:v>
      </x:c>
      <x:c r="H107" s="48" t="n">
        <x:v>31.5</x:v>
      </x:c>
      <x:c r="I107" s="49" t="n">
        <x:v>4</x:v>
      </x:c>
      <x:c r="J107" s="47" t="str">
        <x:v>USDA FDC / Taiwan FDA / estimate</x:v>
      </x:c>
      <x:c r="K107" s="47"/>
      <x:c r="L107" s="47" t="str">
        <x:v>https://fdc.nal.usda.gov/ ; https://www.fda.gov.tw/tc/siteList.aspx?sid=284 ; https://consumer.fda.gov.tw/Food/TFND.aspx?nodeID=178</x:v>
      </x:c>
    </x:row>
    <x:row r="108">
      <x:c r="A108" s="47" t="str">
        <x:v>ST019</x:v>
      </x:c>
      <x:c r="B108" s="47" t="str">
        <x:v>主食/澱粉</x:v>
      </x:c>
      <x:c r="C108" s="47" t="str">
        <x:v>五穀飯（熟）</x:v>
      </x:c>
      <x:c r="D108" s="47" t="str">
        <x:v>熟/可食部</x:v>
      </x:c>
      <x:c r="E108" s="48" t="n">
        <x:v>145</x:v>
      </x:c>
      <x:c r="F108" s="48" t="n">
        <x:v>3.4</x:v>
      </x:c>
      <x:c r="G108" s="48" t="n">
        <x:v>1.2</x:v>
      </x:c>
      <x:c r="H108" s="48" t="n">
        <x:v>30</x:v>
      </x:c>
      <x:c r="I108" s="49" t="n">
        <x:v>5</x:v>
      </x:c>
      <x:c r="J108" s="47" t="str">
        <x:v>USDA FDC / Taiwan FDA / estimate</x:v>
      </x:c>
      <x:c r="K108" s="47" t="str">
        <x:v>配方差異大</x:v>
      </x:c>
      <x:c r="L108" s="47" t="str">
        <x:v>https://fdc.nal.usda.gov/ ; https://www.fda.gov.tw/tc/siteList.aspx?sid=284 ; https://consumer.fda.gov.tw/Food/TFND.aspx?nodeID=178</x:v>
      </x:c>
    </x:row>
    <x:row r="109">
      <x:c r="A109" s="47" t="str">
        <x:v>ST020</x:v>
      </x:c>
      <x:c r="B109" s="47" t="str">
        <x:v>主食/澱粉</x:v>
      </x:c>
      <x:c r="C109" s="47" t="str">
        <x:v>十穀飯（熟）</x:v>
      </x:c>
      <x:c r="D109" s="47" t="str">
        <x:v>熟/可食部</x:v>
      </x:c>
      <x:c r="E109" s="48" t="n">
        <x:v>148</x:v>
      </x:c>
      <x:c r="F109" s="48" t="n">
        <x:v>3.5</x:v>
      </x:c>
      <x:c r="G109" s="48" t="n">
        <x:v>1.3</x:v>
      </x:c>
      <x:c r="H109" s="48" t="n">
        <x:v>30.5</x:v>
      </x:c>
      <x:c r="I109" s="49" t="n">
        <x:v>5</x:v>
      </x:c>
      <x:c r="J109" s="47" t="str">
        <x:v>USDA FDC / Taiwan FDA / estimate</x:v>
      </x:c>
      <x:c r="K109" s="47" t="str">
        <x:v>配方差異大</x:v>
      </x:c>
      <x:c r="L109" s="47" t="str">
        <x:v>https://fdc.nal.usda.gov/ ; https://www.fda.gov.tw/tc/siteList.aspx?sid=284 ; https://consumer.fda.gov.tw/Food/TFND.aspx?nodeID=178</x:v>
      </x:c>
    </x:row>
    <x:row r="110">
      <x:c r="A110" s="47" t="str">
        <x:v>ST021</x:v>
      </x:c>
      <x:c r="B110" s="47" t="str">
        <x:v>主食/澱粉</x:v>
      </x:c>
      <x:c r="C110" s="47" t="str">
        <x:v>麥飯（熟）</x:v>
      </x:c>
      <x:c r="D110" s="47" t="str">
        <x:v>熟/可食部</x:v>
      </x:c>
      <x:c r="E110" s="48" t="n">
        <x:v>126</x:v>
      </x:c>
      <x:c r="F110" s="48" t="n">
        <x:v>2.8</x:v>
      </x:c>
      <x:c r="G110" s="48" t="n">
        <x:v>0.4</x:v>
      </x:c>
      <x:c r="H110" s="48" t="n">
        <x:v>28.2</x:v>
      </x:c>
      <x:c r="I110" s="49" t="n">
        <x:v>3</x:v>
      </x:c>
      <x:c r="J110" s="47" t="str">
        <x:v>USDA FDC / Taiwan FDA / estimate</x:v>
      </x:c>
      <x:c r="K110" s="47"/>
      <x:c r="L110" s="47" t="str">
        <x:v>https://fdc.nal.usda.gov/ ; https://www.fda.gov.tw/tc/siteList.aspx?sid=284 ; https://consumer.fda.gov.tw/Food/TFND.aspx?nodeID=178</x:v>
      </x:c>
    </x:row>
    <x:row r="111">
      <x:c r="A111" s="47" t="str">
        <x:v>ST022</x:v>
      </x:c>
      <x:c r="B111" s="47" t="str">
        <x:v>主食/澱粉</x:v>
      </x:c>
      <x:c r="C111" s="47" t="str">
        <x:v>小米粥</x:v>
      </x:c>
      <x:c r="D111" s="47" t="str">
        <x:v>熟/可食部</x:v>
      </x:c>
      <x:c r="E111" s="48" t="n">
        <x:v>52</x:v>
      </x:c>
      <x:c r="F111" s="48" t="n">
        <x:v>1.3</x:v>
      </x:c>
      <x:c r="G111" s="48" t="n">
        <x:v>0.4</x:v>
      </x:c>
      <x:c r="H111" s="48" t="n">
        <x:v>10.9</x:v>
      </x:c>
      <x:c r="I111" s="49" t="n">
        <x:v>2</x:v>
      </x:c>
      <x:c r="J111" s="47" t="str">
        <x:v>USDA FDC / Taiwan FDA / estimate</x:v>
      </x:c>
      <x:c r="K111" s="47"/>
      <x:c r="L111" s="47" t="str">
        <x:v>https://fdc.nal.usda.gov/ ; https://www.fda.gov.tw/tc/siteList.aspx?sid=284 ; https://consumer.fda.gov.tw/Food/TFND.aspx?nodeID=178</x:v>
      </x:c>
    </x:row>
    <x:row r="112">
      <x:c r="A112" s="47" t="str">
        <x:v>ST023</x:v>
      </x:c>
      <x:c r="B112" s="47" t="str">
        <x:v>主食/澱粉</x:v>
      </x:c>
      <x:c r="C112" s="47" t="str">
        <x:v>小米（熟）</x:v>
      </x:c>
      <x:c r="D112" s="47" t="str">
        <x:v>熟/可食部</x:v>
      </x:c>
      <x:c r="E112" s="48" t="n">
        <x:v>119</x:v>
      </x:c>
      <x:c r="F112" s="48" t="n">
        <x:v>3.5</x:v>
      </x:c>
      <x:c r="G112" s="48" t="n">
        <x:v>1</x:v>
      </x:c>
      <x:c r="H112" s="48" t="n">
        <x:v>23.7</x:v>
      </x:c>
      <x:c r="I112" s="49" t="n">
        <x:v>2</x:v>
      </x:c>
      <x:c r="J112" s="47" t="str">
        <x:v>USDA FDC / Taiwan FDA / estimate</x:v>
      </x:c>
      <x:c r="K112" s="47"/>
      <x:c r="L112" s="47" t="str">
        <x:v>https://fdc.nal.usda.gov/ ; https://www.fda.gov.tw/tc/siteList.aspx?sid=284 ; https://consumer.fda.gov.tw/Food/TFND.aspx?nodeID=178</x:v>
      </x:c>
    </x:row>
    <x:row r="113">
      <x:c r="A113" s="47" t="str">
        <x:v>ST024</x:v>
      </x:c>
      <x:c r="B113" s="47" t="str">
        <x:v>主食/澱粉</x:v>
      </x:c>
      <x:c r="C113" s="47" t="str">
        <x:v>小米（乾）</x:v>
      </x:c>
      <x:c r="D113" s="47" t="str">
        <x:v>乾/可食部</x:v>
      </x:c>
      <x:c r="E113" s="48" t="n">
        <x:v>378</x:v>
      </x:c>
      <x:c r="F113" s="48" t="n">
        <x:v>11</x:v>
      </x:c>
      <x:c r="G113" s="48" t="n">
        <x:v>4.2</x:v>
      </x:c>
      <x:c r="H113" s="48" t="n">
        <x:v>72.9</x:v>
      </x:c>
      <x:c r="I113" s="49" t="n">
        <x:v>5</x:v>
      </x:c>
      <x:c r="J113" s="47" t="str">
        <x:v>USDA FDC / Taiwan FDA / estimate</x:v>
      </x:c>
      <x:c r="K113" s="47" t="str">
        <x:v>乾重</x:v>
      </x:c>
      <x:c r="L113" s="47" t="str">
        <x:v>https://fdc.nal.usda.gov/ ; https://www.fda.gov.tw/tc/siteList.aspx?sid=284 ; https://consumer.fda.gov.tw/Food/TFND.aspx?nodeID=178</x:v>
      </x:c>
    </x:row>
    <x:row r="114">
      <x:c r="A114" s="47" t="str">
        <x:v>ST025</x:v>
      </x:c>
      <x:c r="B114" s="47" t="str">
        <x:v>主食/澱粉</x:v>
      </x:c>
      <x:c r="C114" s="47" t="str">
        <x:v>大麥（熟）</x:v>
      </x:c>
      <x:c r="D114" s="47" t="str">
        <x:v>熟/可食部</x:v>
      </x:c>
      <x:c r="E114" s="48" t="n">
        <x:v>123</x:v>
      </x:c>
      <x:c r="F114" s="48" t="n">
        <x:v>2.3</x:v>
      </x:c>
      <x:c r="G114" s="48" t="n">
        <x:v>0.4</x:v>
      </x:c>
      <x:c r="H114" s="48" t="n">
        <x:v>28.2</x:v>
      </x:c>
      <x:c r="I114" s="49" t="n">
        <x:v>3</x:v>
      </x:c>
      <x:c r="J114" s="47" t="str">
        <x:v>USDA FDC / Taiwan FDA / estimate</x:v>
      </x:c>
      <x:c r="K114" s="47"/>
      <x:c r="L114" s="47" t="str">
        <x:v>https://fdc.nal.usda.gov/ ; https://www.fda.gov.tw/tc/siteList.aspx?sid=284 ; https://consumer.fda.gov.tw/Food/TFND.aspx?nodeID=178</x:v>
      </x:c>
    </x:row>
    <x:row r="115">
      <x:c r="A115" s="47" t="str">
        <x:v>ST026</x:v>
      </x:c>
      <x:c r="B115" s="47" t="str">
        <x:v>主食/澱粉</x:v>
      </x:c>
      <x:c r="C115" s="47" t="str">
        <x:v>大麥（乾）</x:v>
      </x:c>
      <x:c r="D115" s="47" t="str">
        <x:v>乾/可食部</x:v>
      </x:c>
      <x:c r="E115" s="48" t="n">
        <x:v>354</x:v>
      </x:c>
      <x:c r="F115" s="48" t="n">
        <x:v>12.5</x:v>
      </x:c>
      <x:c r="G115" s="48" t="n">
        <x:v>2.3</x:v>
      </x:c>
      <x:c r="H115" s="48" t="n">
        <x:v>73.5</x:v>
      </x:c>
      <x:c r="I115" s="49" t="n">
        <x:v>12</x:v>
      </x:c>
      <x:c r="J115" s="47" t="str">
        <x:v>USDA FDC / Taiwan FDA / estimate</x:v>
      </x:c>
      <x:c r="K115" s="47" t="str">
        <x:v>乾重</x:v>
      </x:c>
      <x:c r="L115" s="47" t="str">
        <x:v>https://fdc.nal.usda.gov/ ; https://www.fda.gov.tw/tc/siteList.aspx?sid=284 ; https://consumer.fda.gov.tw/Food/TFND.aspx?nodeID=178</x:v>
      </x:c>
    </x:row>
    <x:row r="116">
      <x:c r="A116" s="47" t="str">
        <x:v>ST027</x:v>
      </x:c>
      <x:c r="B116" s="47" t="str">
        <x:v>主食/澱粉</x:v>
      </x:c>
      <x:c r="C116" s="47" t="str">
        <x:v>薏仁（熟）</x:v>
      </x:c>
      <x:c r="D116" s="47" t="str">
        <x:v>熟/可食部</x:v>
      </x:c>
      <x:c r="E116" s="48" t="n">
        <x:v>123</x:v>
      </x:c>
      <x:c r="F116" s="48" t="n">
        <x:v>2.5</x:v>
      </x:c>
      <x:c r="G116" s="48" t="n">
        <x:v>0.7</x:v>
      </x:c>
      <x:c r="H116" s="48" t="n">
        <x:v>28</x:v>
      </x:c>
      <x:c r="I116" s="49" t="n">
        <x:v>2</x:v>
      </x:c>
      <x:c r="J116" s="47" t="str">
        <x:v>USDA FDC / Taiwan FDA / estimate</x:v>
      </x:c>
      <x:c r="K116" s="47"/>
      <x:c r="L116" s="47" t="str">
        <x:v>https://fdc.nal.usda.gov/ ; https://www.fda.gov.tw/tc/siteList.aspx?sid=284 ; https://consumer.fda.gov.tw/Food/TFND.aspx?nodeID=178</x:v>
      </x:c>
    </x:row>
    <x:row r="117">
      <x:c r="A117" s="47" t="str">
        <x:v>ST028</x:v>
      </x:c>
      <x:c r="B117" s="47" t="str">
        <x:v>主食/澱粉</x:v>
      </x:c>
      <x:c r="C117" s="47" t="str">
        <x:v>薏仁（乾）</x:v>
      </x:c>
      <x:c r="D117" s="47" t="str">
        <x:v>乾/可食部</x:v>
      </x:c>
      <x:c r="E117" s="48" t="n">
        <x:v>360</x:v>
      </x:c>
      <x:c r="F117" s="48" t="n">
        <x:v>13</x:v>
      </x:c>
      <x:c r="G117" s="48" t="n">
        <x:v>3</x:v>
      </x:c>
      <x:c r="H117" s="48" t="n">
        <x:v>72</x:v>
      </x:c>
      <x:c r="I117" s="49" t="n">
        <x:v>10</x:v>
      </x:c>
      <x:c r="J117" s="47" t="str">
        <x:v>USDA FDC / Taiwan FDA / estimate</x:v>
      </x:c>
      <x:c r="K117" s="47" t="str">
        <x:v>乾重</x:v>
      </x:c>
      <x:c r="L117" s="47" t="str">
        <x:v>https://fdc.nal.usda.gov/ ; https://www.fda.gov.tw/tc/siteList.aspx?sid=284 ; https://consumer.fda.gov.tw/Food/TFND.aspx?nodeID=178</x:v>
      </x:c>
    </x:row>
    <x:row r="118">
      <x:c r="A118" s="47" t="str">
        <x:v>ST029</x:v>
      </x:c>
      <x:c r="B118" s="47" t="str">
        <x:v>主食/澱粉</x:v>
      </x:c>
      <x:c r="C118" s="47" t="str">
        <x:v>蕎麥（熟）</x:v>
      </x:c>
      <x:c r="D118" s="47" t="str">
        <x:v>熟/可食部</x:v>
      </x:c>
      <x:c r="E118" s="48" t="n">
        <x:v>92</x:v>
      </x:c>
      <x:c r="F118" s="48" t="n">
        <x:v>3.4</x:v>
      </x:c>
      <x:c r="G118" s="48" t="n">
        <x:v>0.6</x:v>
      </x:c>
      <x:c r="H118" s="48" t="n">
        <x:v>19.9</x:v>
      </x:c>
      <x:c r="I118" s="49" t="n">
        <x:v>4</x:v>
      </x:c>
      <x:c r="J118" s="47" t="str">
        <x:v>USDA FDC / Taiwan FDA / estimate</x:v>
      </x:c>
      <x:c r="K118" s="47"/>
      <x:c r="L118" s="47" t="str">
        <x:v>https://fdc.nal.usda.gov/ ; https://www.fda.gov.tw/tc/siteList.aspx?sid=284 ; https://consumer.fda.gov.tw/Food/TFND.aspx?nodeID=178</x:v>
      </x:c>
    </x:row>
    <x:row r="119">
      <x:c r="A119" s="47" t="str">
        <x:v>ST030</x:v>
      </x:c>
      <x:c r="B119" s="47" t="str">
        <x:v>主食/澱粉</x:v>
      </x:c>
      <x:c r="C119" s="47" t="str">
        <x:v>蕎麥（乾）</x:v>
      </x:c>
      <x:c r="D119" s="47" t="str">
        <x:v>乾/可食部</x:v>
      </x:c>
      <x:c r="E119" s="48" t="n">
        <x:v>343</x:v>
      </x:c>
      <x:c r="F119" s="48" t="n">
        <x:v>13.3</x:v>
      </x:c>
      <x:c r="G119" s="48" t="n">
        <x:v>3.4</x:v>
      </x:c>
      <x:c r="H119" s="48" t="n">
        <x:v>71.5</x:v>
      </x:c>
      <x:c r="I119" s="49" t="n">
        <x:v>1</x:v>
      </x:c>
      <x:c r="J119" s="47" t="str">
        <x:v>USDA FDC / Taiwan FDA / estimate</x:v>
      </x:c>
      <x:c r="K119" s="47" t="str">
        <x:v>乾重</x:v>
      </x:c>
      <x:c r="L119" s="47" t="str">
        <x:v>https://fdc.nal.usda.gov/ ; https://www.fda.gov.tw/tc/siteList.aspx?sid=284 ; https://consumer.fda.gov.tw/Food/TFND.aspx?nodeID=178</x:v>
      </x:c>
    </x:row>
    <x:row r="120">
      <x:c r="A120" s="47" t="str">
        <x:v>ST031</x:v>
      </x:c>
      <x:c r="B120" s="47" t="str">
        <x:v>主食/澱粉</x:v>
      </x:c>
      <x:c r="C120" s="47" t="str">
        <x:v>高粱（熟）</x:v>
      </x:c>
      <x:c r="D120" s="47" t="str">
        <x:v>熟/可食部</x:v>
      </x:c>
      <x:c r="E120" s="48" t="n">
        <x:v>119</x:v>
      </x:c>
      <x:c r="F120" s="48" t="n">
        <x:v>3.5</x:v>
      </x:c>
      <x:c r="G120" s="48" t="n">
        <x:v>1</x:v>
      </x:c>
      <x:c r="H120" s="48" t="n">
        <x:v>24.6</x:v>
      </x:c>
      <x:c r="I120" s="49" t="n">
        <x:v>7</x:v>
      </x:c>
      <x:c r="J120" s="47" t="str">
        <x:v>USDA FDC / Taiwan FDA / estimate</x:v>
      </x:c>
      <x:c r="K120" s="47"/>
      <x:c r="L120" s="47" t="str">
        <x:v>https://fdc.nal.usda.gov/ ; https://www.fda.gov.tw/tc/siteList.aspx?sid=284 ; https://consumer.fda.gov.tw/Food/TFND.aspx?nodeID=178</x:v>
      </x:c>
    </x:row>
    <x:row r="121">
      <x:c r="A121" s="47" t="str">
        <x:v>ST032</x:v>
      </x:c>
      <x:c r="B121" s="47" t="str">
        <x:v>主食/澱粉</x:v>
      </x:c>
      <x:c r="C121" s="47" t="str">
        <x:v>黑米飯（熟）</x:v>
      </x:c>
      <x:c r="D121" s="47" t="str">
        <x:v>熟/可食部</x:v>
      </x:c>
      <x:c r="E121" s="48" t="n">
        <x:v>150</x:v>
      </x:c>
      <x:c r="F121" s="48" t="n">
        <x:v>3.5</x:v>
      </x:c>
      <x:c r="G121" s="48" t="n">
        <x:v>1.2</x:v>
      </x:c>
      <x:c r="H121" s="48" t="n">
        <x:v>31</x:v>
      </x:c>
      <x:c r="I121" s="49" t="n">
        <x:v>5</x:v>
      </x:c>
      <x:c r="J121" s="47" t="str">
        <x:v>USDA FDC / Taiwan FDA / estimate</x:v>
      </x:c>
      <x:c r="K121" s="47"/>
      <x:c r="L121" s="47" t="str">
        <x:v>https://fdc.nal.usda.gov/ ; https://www.fda.gov.tw/tc/siteList.aspx?sid=284 ; https://consumer.fda.gov.tw/Food/TFND.aspx?nodeID=178</x:v>
      </x:c>
    </x:row>
    <x:row r="122">
      <x:c r="A122" s="47" t="str">
        <x:v>ST033</x:v>
      </x:c>
      <x:c r="B122" s="47" t="str">
        <x:v>主食/澱粉</x:v>
      </x:c>
      <x:c r="C122" s="47" t="str">
        <x:v>紅藜（熟）</x:v>
      </x:c>
      <x:c r="D122" s="47" t="str">
        <x:v>熟/可食部</x:v>
      </x:c>
      <x:c r="E122" s="48" t="n">
        <x:v>120</x:v>
      </x:c>
      <x:c r="F122" s="48" t="n">
        <x:v>4.1</x:v>
      </x:c>
      <x:c r="G122" s="48" t="n">
        <x:v>1.9</x:v>
      </x:c>
      <x:c r="H122" s="48" t="n">
        <x:v>21</x:v>
      </x:c>
      <x:c r="I122" s="49" t="n">
        <x:v>7</x:v>
      </x:c>
      <x:c r="J122" s="47" t="str">
        <x:v>USDA FDC / Taiwan FDA / estimate</x:v>
      </x:c>
      <x:c r="K122" s="47"/>
      <x:c r="L122" s="47" t="str">
        <x:v>https://fdc.nal.usda.gov/ ; https://www.fda.gov.tw/tc/siteList.aspx?sid=284 ; https://consumer.fda.gov.tw/Food/TFND.aspx?nodeID=178</x:v>
      </x:c>
    </x:row>
    <x:row r="123">
      <x:c r="A123" s="47" t="str">
        <x:v>ST034</x:v>
      </x:c>
      <x:c r="B123" s="47" t="str">
        <x:v>主食/澱粉</x:v>
      </x:c>
      <x:c r="C123" s="47" t="str">
        <x:v>藜麥（乾）</x:v>
      </x:c>
      <x:c r="D123" s="47" t="str">
        <x:v>乾/可食部</x:v>
      </x:c>
      <x:c r="E123" s="48" t="n">
        <x:v>368</x:v>
      </x:c>
      <x:c r="F123" s="48" t="n">
        <x:v>14.1</x:v>
      </x:c>
      <x:c r="G123" s="48" t="n">
        <x:v>6.1</x:v>
      </x:c>
      <x:c r="H123" s="48" t="n">
        <x:v>64.2</x:v>
      </x:c>
      <x:c r="I123" s="49" t="n">
        <x:v>5</x:v>
      </x:c>
      <x:c r="J123" s="47" t="str">
        <x:v>USDA FDC / Taiwan FDA / estimate</x:v>
      </x:c>
      <x:c r="K123" s="47" t="str">
        <x:v>乾重</x:v>
      </x:c>
      <x:c r="L123" s="47" t="str">
        <x:v>https://fdc.nal.usda.gov/ ; https://www.fda.gov.tw/tc/siteList.aspx?sid=284 ; https://consumer.fda.gov.tw/Food/TFND.aspx?nodeID=178</x:v>
      </x:c>
    </x:row>
    <x:row r="124">
      <x:c r="A124" s="47" t="str">
        <x:v>ST035</x:v>
      </x:c>
      <x:c r="B124" s="47" t="str">
        <x:v>主食/澱粉</x:v>
      </x:c>
      <x:c r="C124" s="47" t="str">
        <x:v>燕麥粥（熟）</x:v>
      </x:c>
      <x:c r="D124" s="47" t="str">
        <x:v>熟/可食部</x:v>
      </x:c>
      <x:c r="E124" s="48" t="n">
        <x:v>71</x:v>
      </x:c>
      <x:c r="F124" s="48" t="n">
        <x:v>2.5</x:v>
      </x:c>
      <x:c r="G124" s="48" t="n">
        <x:v>1.5</x:v>
      </x:c>
      <x:c r="H124" s="48" t="n">
        <x:v>12</x:v>
      </x:c>
      <x:c r="I124" s="49" t="n">
        <x:v>3</x:v>
      </x:c>
      <x:c r="J124" s="47" t="str">
        <x:v>USDA FDC / Taiwan FDA / estimate</x:v>
      </x:c>
      <x:c r="K124" s="47" t="str">
        <x:v>以水煮燕麥估算</x:v>
      </x:c>
      <x:c r="L124" s="47" t="str">
        <x:v>https://fdc.nal.usda.gov/ ; https://www.fda.gov.tw/tc/siteList.aspx?sid=284 ; https://consumer.fda.gov.tw/Food/TFND.aspx?nodeID=178</x:v>
      </x:c>
    </x:row>
    <x:row r="125">
      <x:c r="A125" s="47" t="str">
        <x:v>ST036</x:v>
      </x:c>
      <x:c r="B125" s="47" t="str">
        <x:v>主食/澱粉</x:v>
      </x:c>
      <x:c r="C125" s="47" t="str">
        <x:v>即食燕麥（乾）</x:v>
      </x:c>
      <x:c r="D125" s="47" t="str">
        <x:v>乾/可食部</x:v>
      </x:c>
      <x:c r="E125" s="48" t="n">
        <x:v>379</x:v>
      </x:c>
      <x:c r="F125" s="48" t="n">
        <x:v>13.2</x:v>
      </x:c>
      <x:c r="G125" s="48" t="n">
        <x:v>6.5</x:v>
      </x:c>
      <x:c r="H125" s="48" t="n">
        <x:v>67.7</x:v>
      </x:c>
      <x:c r="I125" s="49" t="n">
        <x:v>6</x:v>
      </x:c>
      <x:c r="J125" s="47" t="str">
        <x:v>USDA FDC / Taiwan FDA / estimate</x:v>
      </x:c>
      <x:c r="K125" s="47" t="str">
        <x:v>乾重</x:v>
      </x:c>
      <x:c r="L125" s="47" t="str">
        <x:v>https://fdc.nal.usda.gov/ ; https://www.fda.gov.tw/tc/siteList.aspx?sid=284 ; https://consumer.fda.gov.tw/Food/TFND.aspx?nodeID=178</x:v>
      </x:c>
    </x:row>
    <x:row r="126">
      <x:c r="A126" s="47" t="str">
        <x:v>ST037</x:v>
      </x:c>
      <x:c r="B126" s="47" t="str">
        <x:v>主食/澱粉</x:v>
      </x:c>
      <x:c r="C126" s="47" t="str">
        <x:v>鋼切燕麥（乾）</x:v>
      </x:c>
      <x:c r="D126" s="47" t="str">
        <x:v>乾/可食部</x:v>
      </x:c>
      <x:c r="E126" s="48" t="n">
        <x:v>375</x:v>
      </x:c>
      <x:c r="F126" s="48" t="n">
        <x:v>12.5</x:v>
      </x:c>
      <x:c r="G126" s="48" t="n">
        <x:v>7</x:v>
      </x:c>
      <x:c r="H126" s="48" t="n">
        <x:v>67</x:v>
      </x:c>
      <x:c r="I126" s="49" t="n">
        <x:v>2</x:v>
      </x:c>
      <x:c r="J126" s="47" t="str">
        <x:v>USDA FDC / Taiwan FDA / estimate</x:v>
      </x:c>
      <x:c r="K126" s="47" t="str">
        <x:v>乾重</x:v>
      </x:c>
      <x:c r="L126" s="47" t="str">
        <x:v>https://fdc.nal.usda.gov/ ; https://www.fda.gov.tw/tc/siteList.aspx?sid=284 ; https://consumer.fda.gov.tw/Food/TFND.aspx?nodeID=178</x:v>
      </x:c>
    </x:row>
    <x:row r="127">
      <x:c r="A127" s="47" t="str">
        <x:v>ST038</x:v>
      </x:c>
      <x:c r="B127" s="47" t="str">
        <x:v>主食/澱粉</x:v>
      </x:c>
      <x:c r="C127" s="47" t="str">
        <x:v>全麥義大利麵（熟）</x:v>
      </x:c>
      <x:c r="D127" s="47" t="str">
        <x:v>熟/可食部</x:v>
      </x:c>
      <x:c r="E127" s="48" t="n">
        <x:v>149</x:v>
      </x:c>
      <x:c r="F127" s="48" t="n">
        <x:v>5.9</x:v>
      </x:c>
      <x:c r="G127" s="48" t="n">
        <x:v>1.7</x:v>
      </x:c>
      <x:c r="H127" s="48" t="n">
        <x:v>30.1</x:v>
      </x:c>
      <x:c r="I127" s="49" t="n">
        <x:v>4</x:v>
      </x:c>
      <x:c r="J127" s="47" t="str">
        <x:v>USDA FDC / Taiwan FDA / estimate</x:v>
      </x:c>
      <x:c r="K127" s="47"/>
      <x:c r="L127" s="47" t="str">
        <x:v>https://fdc.nal.usda.gov/ ; https://www.fda.gov.tw/tc/siteList.aspx?sid=284 ; https://consumer.fda.gov.tw/Food/TFND.aspx?nodeID=178</x:v>
      </x:c>
    </x:row>
    <x:row r="128">
      <x:c r="A128" s="47" t="str">
        <x:v>ST039</x:v>
      </x:c>
      <x:c r="B128" s="47" t="str">
        <x:v>主食/澱粉</x:v>
      </x:c>
      <x:c r="C128" s="47" t="str">
        <x:v>米粉（熟）</x:v>
      </x:c>
      <x:c r="D128" s="47" t="str">
        <x:v>熟/可食部</x:v>
      </x:c>
      <x:c r="E128" s="48" t="n">
        <x:v>109</x:v>
      </x:c>
      <x:c r="F128" s="48" t="n">
        <x:v>1.8</x:v>
      </x:c>
      <x:c r="G128" s="48" t="n">
        <x:v>0.2</x:v>
      </x:c>
      <x:c r="H128" s="48" t="n">
        <x:v>24.9</x:v>
      </x:c>
      <x:c r="I128" s="49" t="n">
        <x:v>5</x:v>
      </x:c>
      <x:c r="J128" s="47" t="str">
        <x:v>USDA FDC / Taiwan FDA / estimate</x:v>
      </x:c>
      <x:c r="K128" s="47" t="str">
        <x:v>清水煮，未加油醬</x:v>
      </x:c>
      <x:c r="L128" s="47" t="str">
        <x:v>https://fdc.nal.usda.gov/ ; https://www.fda.gov.tw/tc/siteList.aspx?sid=284 ; https://consumer.fda.gov.tw/Food/TFND.aspx?nodeID=178</x:v>
      </x:c>
    </x:row>
    <x:row r="129">
      <x:c r="A129" s="47" t="str">
        <x:v>ST040</x:v>
      </x:c>
      <x:c r="B129" s="47" t="str">
        <x:v>主食/澱粉</x:v>
      </x:c>
      <x:c r="C129" s="47" t="str">
        <x:v>米粉（乾）</x:v>
      </x:c>
      <x:c r="D129" s="47" t="str">
        <x:v>乾/可食部</x:v>
      </x:c>
      <x:c r="E129" s="48" t="n">
        <x:v>364</x:v>
      </x:c>
      <x:c r="F129" s="48" t="n">
        <x:v>6</x:v>
      </x:c>
      <x:c r="G129" s="48" t="n">
        <x:v>0.6</x:v>
      </x:c>
      <x:c r="H129" s="48" t="n">
        <x:v>82</x:v>
      </x:c>
      <x:c r="I129" s="49" t="n">
        <x:v>20</x:v>
      </x:c>
      <x:c r="J129" s="47" t="str">
        <x:v>USDA FDC / Taiwan FDA / estimate</x:v>
      </x:c>
      <x:c r="K129" s="47" t="str">
        <x:v>品牌差異大</x:v>
      </x:c>
      <x:c r="L129" s="47" t="str">
        <x:v>https://fdc.nal.usda.gov/ ; https://www.fda.gov.tw/tc/siteList.aspx?sid=284 ; https://consumer.fda.gov.tw/Food/TFND.aspx?nodeID=178</x:v>
      </x:c>
    </x:row>
    <x:row r="130">
      <x:c r="A130" s="47" t="str">
        <x:v>ST041</x:v>
      </x:c>
      <x:c r="B130" s="47" t="str">
        <x:v>主食/澱粉</x:v>
      </x:c>
      <x:c r="C130" s="47" t="str">
        <x:v>河粉（熟）</x:v>
      </x:c>
      <x:c r="D130" s="47" t="str">
        <x:v>熟/可食部</x:v>
      </x:c>
      <x:c r="E130" s="48" t="n">
        <x:v>110</x:v>
      </x:c>
      <x:c r="F130" s="48" t="n">
        <x:v>1.8</x:v>
      </x:c>
      <x:c r="G130" s="48" t="n">
        <x:v>0.3</x:v>
      </x:c>
      <x:c r="H130" s="48" t="n">
        <x:v>25</x:v>
      </x:c>
      <x:c r="I130" s="49" t="n">
        <x:v>6</x:v>
      </x:c>
      <x:c r="J130" s="47" t="str">
        <x:v>USDA FDC / Taiwan FDA / estimate</x:v>
      </x:c>
      <x:c r="K130" s="47"/>
      <x:c r="L130" s="47" t="str">
        <x:v>https://fdc.nal.usda.gov/ ; https://www.fda.gov.tw/tc/siteList.aspx?sid=284 ; https://consumer.fda.gov.tw/Food/TFND.aspx?nodeID=178</x:v>
      </x:c>
    </x:row>
    <x:row r="131">
      <x:c r="A131" s="47" t="str">
        <x:v>ST042</x:v>
      </x:c>
      <x:c r="B131" s="47" t="str">
        <x:v>主食/澱粉</x:v>
      </x:c>
      <x:c r="C131" s="47" t="str">
        <x:v>粿條（熟）</x:v>
      </x:c>
      <x:c r="D131" s="47" t="str">
        <x:v>熟/可食部</x:v>
      </x:c>
      <x:c r="E131" s="48" t="n">
        <x:v>130</x:v>
      </x:c>
      <x:c r="F131" s="48" t="n">
        <x:v>2</x:v>
      </x:c>
      <x:c r="G131" s="48" t="n">
        <x:v>0.5</x:v>
      </x:c>
      <x:c r="H131" s="48" t="n">
        <x:v>29</x:v>
      </x:c>
      <x:c r="I131" s="49" t="n">
        <x:v>10</x:v>
      </x:c>
      <x:c r="J131" s="47" t="str">
        <x:v>USDA FDC / Taiwan FDA / estimate</x:v>
      </x:c>
      <x:c r="K131" s="47" t="str">
        <x:v>不同店家含水量差異大</x:v>
      </x:c>
      <x:c r="L131" s="47" t="str">
        <x:v>https://fdc.nal.usda.gov/ ; https://www.fda.gov.tw/tc/siteList.aspx?sid=284 ; https://consumer.fda.gov.tw/Food/TFND.aspx?nodeID=178</x:v>
      </x:c>
    </x:row>
    <x:row r="132">
      <x:c r="A132" s="47" t="str">
        <x:v>ST043</x:v>
      </x:c>
      <x:c r="B132" s="47" t="str">
        <x:v>主食/澱粉</x:v>
      </x:c>
      <x:c r="C132" s="47" t="str">
        <x:v>米苔目（熟）</x:v>
      </x:c>
      <x:c r="D132" s="47" t="str">
        <x:v>熟/可食部</x:v>
      </x:c>
      <x:c r="E132" s="48" t="n">
        <x:v>115</x:v>
      </x:c>
      <x:c r="F132" s="48" t="n">
        <x:v>1.7</x:v>
      </x:c>
      <x:c r="G132" s="48" t="n">
        <x:v>0.2</x:v>
      </x:c>
      <x:c r="H132" s="48" t="n">
        <x:v>26.5</x:v>
      </x:c>
      <x:c r="I132" s="49" t="n">
        <x:v>8</x:v>
      </x:c>
      <x:c r="J132" s="47" t="str">
        <x:v>USDA FDC / Taiwan FDA / estimate</x:v>
      </x:c>
      <x:c r="K132" s="47"/>
      <x:c r="L132" s="47" t="str">
        <x:v>https://fdc.nal.usda.gov/ ; https://www.fda.gov.tw/tc/siteList.aspx?sid=284 ; https://consumer.fda.gov.tw/Food/TFND.aspx?nodeID=178</x:v>
      </x:c>
    </x:row>
    <x:row r="133">
      <x:c r="A133" s="47" t="str">
        <x:v>ST044</x:v>
      </x:c>
      <x:c r="B133" s="47" t="str">
        <x:v>主食/澱粉</x:v>
      </x:c>
      <x:c r="C133" s="47" t="str">
        <x:v>烏龍麵（熟）</x:v>
      </x:c>
      <x:c r="D133" s="47" t="str">
        <x:v>熟/可食部</x:v>
      </x:c>
      <x:c r="E133" s="48" t="n">
        <x:v>127</x:v>
      </x:c>
      <x:c r="F133" s="48" t="n">
        <x:v>3.5</x:v>
      </x:c>
      <x:c r="G133" s="48" t="n">
        <x:v>0.2</x:v>
      </x:c>
      <x:c r="H133" s="48" t="n">
        <x:v>27</x:v>
      </x:c>
      <x:c r="I133" s="49" t="n">
        <x:v>6</x:v>
      </x:c>
      <x:c r="J133" s="47" t="str">
        <x:v>USDA FDC / Taiwan FDA / estimate</x:v>
      </x:c>
      <x:c r="K133" s="47" t="str">
        <x:v>不含湯與醬</x:v>
      </x:c>
      <x:c r="L133" s="47" t="str">
        <x:v>https://fdc.nal.usda.gov/ ; https://www.fda.gov.tw/tc/siteList.aspx?sid=284 ; https://consumer.fda.gov.tw/Food/TFND.aspx?nodeID=178</x:v>
      </x:c>
    </x:row>
    <x:row r="134">
      <x:c r="A134" s="47" t="str">
        <x:v>ST045</x:v>
      </x:c>
      <x:c r="B134" s="47" t="str">
        <x:v>主食/澱粉</x:v>
      </x:c>
      <x:c r="C134" s="47" t="str">
        <x:v>拉麵麵條（熟）</x:v>
      </x:c>
      <x:c r="D134" s="47" t="str">
        <x:v>熟/可食部</x:v>
      </x:c>
      <x:c r="E134" s="48" t="n">
        <x:v>149</x:v>
      </x:c>
      <x:c r="F134" s="48" t="n">
        <x:v>4.5</x:v>
      </x:c>
      <x:c r="G134" s="48" t="n">
        <x:v>1.1</x:v>
      </x:c>
      <x:c r="H134" s="48" t="n">
        <x:v>30.5</x:v>
      </x:c>
      <x:c r="I134" s="49" t="n">
        <x:v>180</x:v>
      </x:c>
      <x:c r="J134" s="47" t="str">
        <x:v>USDA FDC / Taiwan FDA / estimate</x:v>
      </x:c>
      <x:c r="K134" s="47" t="str">
        <x:v>鹼水麵鈉可能較高</x:v>
      </x:c>
      <x:c r="L134" s="47" t="str">
        <x:v>https://fdc.nal.usda.gov/ ; https://www.fda.gov.tw/tc/siteList.aspx?sid=284 ; https://consumer.fda.gov.tw/Food/TFND.aspx?nodeID=178</x:v>
      </x:c>
    </x:row>
    <x:row r="135">
      <x:c r="A135" s="47" t="str">
        <x:v>ST046</x:v>
      </x:c>
      <x:c r="B135" s="47" t="str">
        <x:v>主食/澱粉</x:v>
      </x:c>
      <x:c r="C135" s="47" t="str">
        <x:v>蕎麥麵（熟）</x:v>
      </x:c>
      <x:c r="D135" s="47" t="str">
        <x:v>熟/可食部</x:v>
      </x:c>
      <x:c r="E135" s="48" t="n">
        <x:v>99</x:v>
      </x:c>
      <x:c r="F135" s="48" t="n">
        <x:v>5.1</x:v>
      </x:c>
      <x:c r="G135" s="48" t="n">
        <x:v>0.1</x:v>
      </x:c>
      <x:c r="H135" s="48" t="n">
        <x:v>21.4</x:v>
      </x:c>
      <x:c r="I135" s="49" t="n">
        <x:v>60</x:v>
      </x:c>
      <x:c r="J135" s="47" t="str">
        <x:v>USDA FDC / Taiwan FDA / estimate</x:v>
      </x:c>
      <x:c r="K135" s="47" t="str">
        <x:v>品牌比例差異大</x:v>
      </x:c>
      <x:c r="L135" s="47" t="str">
        <x:v>https://fdc.nal.usda.gov/ ; https://www.fda.gov.tw/tc/siteList.aspx?sid=284 ; https://consumer.fda.gov.tw/Food/TFND.aspx?nodeID=178</x:v>
      </x:c>
    </x:row>
    <x:row r="136">
      <x:c r="A136" s="47" t="str">
        <x:v>ST047</x:v>
      </x:c>
      <x:c r="B136" s="47" t="str">
        <x:v>主食/澱粉</x:v>
      </x:c>
      <x:c r="C136" s="47" t="str">
        <x:v>麵線（熟）</x:v>
      </x:c>
      <x:c r="D136" s="47" t="str">
        <x:v>熟/可食部</x:v>
      </x:c>
      <x:c r="E136" s="48" t="n">
        <x:v>120</x:v>
      </x:c>
      <x:c r="F136" s="48" t="n">
        <x:v>3.2</x:v>
      </x:c>
      <x:c r="G136" s="48" t="n">
        <x:v>0.5</x:v>
      </x:c>
      <x:c r="H136" s="48" t="n">
        <x:v>25.5</x:v>
      </x:c>
      <x:c r="I136" s="49" t="n">
        <x:v>280</x:v>
      </x:c>
      <x:c r="J136" s="47" t="str">
        <x:v>USDA FDC / Taiwan FDA / estimate</x:v>
      </x:c>
      <x:c r="K136" s="47" t="str">
        <x:v>麵線本體鈉偏高</x:v>
      </x:c>
      <x:c r="L136" s="47" t="str">
        <x:v>https://fdc.nal.usda.gov/ ; https://www.fda.gov.tw/tc/siteList.aspx?sid=284 ; https://consumer.fda.gov.tw/Food/TFND.aspx?nodeID=178</x:v>
      </x:c>
    </x:row>
    <x:row r="137">
      <x:c r="A137" s="47" t="str">
        <x:v>ST048</x:v>
      </x:c>
      <x:c r="B137" s="47" t="str">
        <x:v>主食/澱粉</x:v>
      </x:c>
      <x:c r="C137" s="47" t="str">
        <x:v>粉絲（乾）</x:v>
      </x:c>
      <x:c r="D137" s="47" t="str">
        <x:v>乾/可食部</x:v>
      </x:c>
      <x:c r="E137" s="48" t="n">
        <x:v>351</x:v>
      </x:c>
      <x:c r="F137" s="48" t="n">
        <x:v>0.2</x:v>
      </x:c>
      <x:c r="G137" s="48" t="n">
        <x:v>0.1</x:v>
      </x:c>
      <x:c r="H137" s="48" t="n">
        <x:v>86.5</x:v>
      </x:c>
      <x:c r="I137" s="49" t="n">
        <x:v>10</x:v>
      </x:c>
      <x:c r="J137" s="47" t="str">
        <x:v>USDA FDC / Taiwan FDA / estimate</x:v>
      </x:c>
      <x:c r="K137" s="47" t="str">
        <x:v>乾重</x:v>
      </x:c>
      <x:c r="L137" s="47" t="str">
        <x:v>https://fdc.nal.usda.gov/ ; https://www.fda.gov.tw/tc/siteList.aspx?sid=284 ; https://consumer.fda.gov.tw/Food/TFND.aspx?nodeID=178</x:v>
      </x:c>
    </x:row>
    <x:row r="138">
      <x:c r="A138" s="47" t="str">
        <x:v>ST049</x:v>
      </x:c>
      <x:c r="B138" s="47" t="str">
        <x:v>主食/澱粉</x:v>
      </x:c>
      <x:c r="C138" s="47" t="str">
        <x:v>冬粉（乾）</x:v>
      </x:c>
      <x:c r="D138" s="47" t="str">
        <x:v>乾/可食部</x:v>
      </x:c>
      <x:c r="E138" s="48" t="n">
        <x:v>351</x:v>
      </x:c>
      <x:c r="F138" s="48" t="n">
        <x:v>0.1</x:v>
      </x:c>
      <x:c r="G138" s="48" t="n">
        <x:v>0</x:v>
      </x:c>
      <x:c r="H138" s="48" t="n">
        <x:v>86.5</x:v>
      </x:c>
      <x:c r="I138" s="49" t="n">
        <x:v>10</x:v>
      </x:c>
      <x:c r="J138" s="47" t="str">
        <x:v>USDA FDC / Taiwan FDA / estimate</x:v>
      </x:c>
      <x:c r="K138" s="47" t="str">
        <x:v>乾重</x:v>
      </x:c>
      <x:c r="L138" s="47" t="str">
        <x:v>https://fdc.nal.usda.gov/ ; https://www.fda.gov.tw/tc/siteList.aspx?sid=284 ; https://consumer.fda.gov.tw/Food/TFND.aspx?nodeID=178</x:v>
      </x:c>
    </x:row>
    <x:row r="139">
      <x:c r="A139" s="47" t="str">
        <x:v>ST050</x:v>
      </x:c>
      <x:c r="B139" s="47" t="str">
        <x:v>主食/澱粉</x:v>
      </x:c>
      <x:c r="C139" s="47" t="str">
        <x:v>義大利麵（乾）</x:v>
      </x:c>
      <x:c r="D139" s="47" t="str">
        <x:v>乾/可食部</x:v>
      </x:c>
      <x:c r="E139" s="48" t="n">
        <x:v>371</x:v>
      </x:c>
      <x:c r="F139" s="48" t="n">
        <x:v>13</x:v>
      </x:c>
      <x:c r="G139" s="48" t="n">
        <x:v>1.5</x:v>
      </x:c>
      <x:c r="H139" s="48" t="n">
        <x:v>75</x:v>
      </x:c>
      <x:c r="I139" s="49" t="n">
        <x:v>6</x:v>
      </x:c>
      <x:c r="J139" s="47" t="str">
        <x:v>USDA FDC / Taiwan FDA / estimate</x:v>
      </x:c>
      <x:c r="K139" s="47" t="str">
        <x:v>乾重</x:v>
      </x:c>
      <x:c r="L139" s="47" t="str">
        <x:v>https://fdc.nal.usda.gov/ ; https://www.fda.gov.tw/tc/siteList.aspx?sid=284 ; https://consumer.fda.gov.tw/Food/TFND.aspx?nodeID=178</x:v>
      </x:c>
    </x:row>
    <x:row r="140">
      <x:c r="A140" s="47" t="str">
        <x:v>ST051</x:v>
      </x:c>
      <x:c r="B140" s="47" t="str">
        <x:v>主食/澱粉</x:v>
      </x:c>
      <x:c r="C140" s="47" t="str">
        <x:v>全麥麵條（熟）</x:v>
      </x:c>
      <x:c r="D140" s="47" t="str">
        <x:v>熟/可食部</x:v>
      </x:c>
      <x:c r="E140" s="48" t="n">
        <x:v>124</x:v>
      </x:c>
      <x:c r="F140" s="48" t="n">
        <x:v>5.3</x:v>
      </x:c>
      <x:c r="G140" s="48" t="n">
        <x:v>0.8</x:v>
      </x:c>
      <x:c r="H140" s="48" t="n">
        <x:v>26.5</x:v>
      </x:c>
      <x:c r="I140" s="49" t="n">
        <x:v>5</x:v>
      </x:c>
      <x:c r="J140" s="47" t="str">
        <x:v>USDA FDC / Taiwan FDA / estimate</x:v>
      </x:c>
      <x:c r="K140" s="47"/>
      <x:c r="L140" s="47" t="str">
        <x:v>https://fdc.nal.usda.gov/ ; https://www.fda.gov.tw/tc/siteList.aspx?sid=284 ; https://consumer.fda.gov.tw/Food/TFND.aspx?nodeID=178</x:v>
      </x:c>
    </x:row>
    <x:row r="141">
      <x:c r="A141" s="47" t="str">
        <x:v>ST052</x:v>
      </x:c>
      <x:c r="B141" s="47" t="str">
        <x:v>主食/澱粉</x:v>
      </x:c>
      <x:c r="C141" s="47" t="str">
        <x:v>吐司（白）</x:v>
      </x:c>
      <x:c r="D141" s="47" t="str">
        <x:v>可食部</x:v>
      </x:c>
      <x:c r="E141" s="48" t="n">
        <x:v>265</x:v>
      </x:c>
      <x:c r="F141" s="48" t="n">
        <x:v>9</x:v>
      </x:c>
      <x:c r="G141" s="48" t="n">
        <x:v>3.2</x:v>
      </x:c>
      <x:c r="H141" s="48" t="n">
        <x:v>49</x:v>
      </x:c>
      <x:c r="I141" s="49" t="n">
        <x:v>490</x:v>
      </x:c>
      <x:c r="J141" s="47" t="str">
        <x:v>USDA FDC / Taiwan FDA / estimate</x:v>
      </x:c>
      <x:c r="K141" s="47" t="str">
        <x:v>非原形，但常作主食基準</x:v>
      </x:c>
      <x:c r="L141" s="47" t="str">
        <x:v>https://fdc.nal.usda.gov/ ; https://www.fda.gov.tw/tc/siteList.aspx?sid=284 ; https://consumer.fda.gov.tw/Food/TFND.aspx?nodeID=178</x:v>
      </x:c>
    </x:row>
    <x:row r="142">
      <x:c r="A142" s="47" t="str">
        <x:v>ST053</x:v>
      </x:c>
      <x:c r="B142" s="47" t="str">
        <x:v>主食/澱粉</x:v>
      </x:c>
      <x:c r="C142" s="47" t="str">
        <x:v>吐司（全麥）</x:v>
      </x:c>
      <x:c r="D142" s="47" t="str">
        <x:v>可食部</x:v>
      </x:c>
      <x:c r="E142" s="48" t="n">
        <x:v>247</x:v>
      </x:c>
      <x:c r="F142" s="48" t="n">
        <x:v>13</x:v>
      </x:c>
      <x:c r="G142" s="48" t="n">
        <x:v>4.2</x:v>
      </x:c>
      <x:c r="H142" s="48" t="n">
        <x:v>41</x:v>
      </x:c>
      <x:c r="I142" s="49" t="n">
        <x:v>450</x:v>
      </x:c>
      <x:c r="J142" s="47" t="str">
        <x:v>USDA FDC / Taiwan FDA / estimate</x:v>
      </x:c>
      <x:c r="K142" s="47" t="str">
        <x:v>非原形，但常作主食基準</x:v>
      </x:c>
      <x:c r="L142" s="47" t="str">
        <x:v>https://fdc.nal.usda.gov/ ; https://www.fda.gov.tw/tc/siteList.aspx?sid=284 ; https://consumer.fda.gov.tw/Food/TFND.aspx?nodeID=178</x:v>
      </x:c>
    </x:row>
    <x:row r="143">
      <x:c r="A143" s="47" t="str">
        <x:v>ST054</x:v>
      </x:c>
      <x:c r="B143" s="47" t="str">
        <x:v>主食/澱粉</x:v>
      </x:c>
      <x:c r="C143" s="47" t="str">
        <x:v>法國麵包</x:v>
      </x:c>
      <x:c r="D143" s="47" t="str">
        <x:v>可食部</x:v>
      </x:c>
      <x:c r="E143" s="48" t="n">
        <x:v>270</x:v>
      </x:c>
      <x:c r="F143" s="48" t="n">
        <x:v>9</x:v>
      </x:c>
      <x:c r="G143" s="48" t="n">
        <x:v>1.2</x:v>
      </x:c>
      <x:c r="H143" s="48" t="n">
        <x:v>56</x:v>
      </x:c>
      <x:c r="I143" s="49" t="n">
        <x:v>600</x:v>
      </x:c>
      <x:c r="J143" s="47" t="str">
        <x:v>USDA FDC / Taiwan FDA / estimate</x:v>
      </x:c>
      <x:c r="K143" s="47" t="str">
        <x:v>不含奶油/餡料</x:v>
      </x:c>
      <x:c r="L143" s="47" t="str">
        <x:v>https://fdc.nal.usda.gov/ ; https://www.fda.gov.tw/tc/siteList.aspx?sid=284 ; https://consumer.fda.gov.tw/Food/TFND.aspx?nodeID=178</x:v>
      </x:c>
    </x:row>
    <x:row r="144">
      <x:c r="A144" s="47" t="str">
        <x:v>ST055</x:v>
      </x:c>
      <x:c r="B144" s="47" t="str">
        <x:v>主食/澱粉</x:v>
      </x:c>
      <x:c r="C144" s="47" t="str">
        <x:v>貝果（原味）</x:v>
      </x:c>
      <x:c r="D144" s="47" t="str">
        <x:v>可食部</x:v>
      </x:c>
      <x:c r="E144" s="48" t="n">
        <x:v>250</x:v>
      </x:c>
      <x:c r="F144" s="48" t="n">
        <x:v>10</x:v>
      </x:c>
      <x:c r="G144" s="48" t="n">
        <x:v>1.5</x:v>
      </x:c>
      <x:c r="H144" s="48" t="n">
        <x:v>49</x:v>
      </x:c>
      <x:c r="I144" s="49" t="n">
        <x:v>430</x:v>
      </x:c>
      <x:c r="J144" s="47" t="str">
        <x:v>USDA FDC / Taiwan FDA / estimate</x:v>
      </x:c>
      <x:c r="K144" s="47" t="str">
        <x:v>非原形，但常作主食基準</x:v>
      </x:c>
      <x:c r="L144" s="47" t="str">
        <x:v>https://fdc.nal.usda.gov/ ; https://www.fda.gov.tw/tc/siteList.aspx?sid=284 ; https://consumer.fda.gov.tw/Food/TFND.aspx?nodeID=178</x:v>
      </x:c>
    </x:row>
    <x:row r="145">
      <x:c r="A145" s="47" t="str">
        <x:v>ST056</x:v>
      </x:c>
      <x:c r="B145" s="47" t="str">
        <x:v>主食/澱粉</x:v>
      </x:c>
      <x:c r="C145" s="47" t="str">
        <x:v>饅頭（白）</x:v>
      </x:c>
      <x:c r="D145" s="47" t="str">
        <x:v>可食部</x:v>
      </x:c>
      <x:c r="E145" s="48" t="n">
        <x:v>223</x:v>
      </x:c>
      <x:c r="F145" s="48" t="n">
        <x:v>7</x:v>
      </x:c>
      <x:c r="G145" s="48" t="n">
        <x:v>1.1</x:v>
      </x:c>
      <x:c r="H145" s="48" t="n">
        <x:v>46</x:v>
      </x:c>
      <x:c r="I145" s="49" t="n">
        <x:v>250</x:v>
      </x:c>
      <x:c r="J145" s="47" t="str">
        <x:v>USDA FDC / Taiwan FDA / estimate</x:v>
      </x:c>
      <x:c r="K145" s="47"/>
      <x:c r="L145" s="47" t="str">
        <x:v>https://fdc.nal.usda.gov/ ; https://www.fda.gov.tw/tc/siteList.aspx?sid=284 ; https://consumer.fda.gov.tw/Food/TFND.aspx?nodeID=178</x:v>
      </x:c>
    </x:row>
    <x:row r="146">
      <x:c r="A146" s="47" t="str">
        <x:v>ST057</x:v>
      </x:c>
      <x:c r="B146" s="47" t="str">
        <x:v>主食/澱粉</x:v>
      </x:c>
      <x:c r="C146" s="47" t="str">
        <x:v>全麥饅頭</x:v>
      </x:c>
      <x:c r="D146" s="47" t="str">
        <x:v>可食部</x:v>
      </x:c>
      <x:c r="E146" s="48" t="n">
        <x:v>230</x:v>
      </x:c>
      <x:c r="F146" s="48" t="n">
        <x:v>8</x:v>
      </x:c>
      <x:c r="G146" s="48" t="n">
        <x:v>1.5</x:v>
      </x:c>
      <x:c r="H146" s="48" t="n">
        <x:v>45</x:v>
      </x:c>
      <x:c r="I146" s="49" t="n">
        <x:v>260</x:v>
      </x:c>
      <x:c r="J146" s="47" t="str">
        <x:v>USDA FDC / Taiwan FDA / estimate</x:v>
      </x:c>
      <x:c r="K146" s="47"/>
      <x:c r="L146" s="47" t="str">
        <x:v>https://fdc.nal.usda.gov/ ; https://www.fda.gov.tw/tc/siteList.aspx?sid=284 ; https://consumer.fda.gov.tw/Food/TFND.aspx?nodeID=178</x:v>
      </x:c>
    </x:row>
    <x:row r="147">
      <x:c r="A147" s="47" t="str">
        <x:v>ST058</x:v>
      </x:c>
      <x:c r="B147" s="47" t="str">
        <x:v>主食/澱粉</x:v>
      </x:c>
      <x:c r="C147" s="47" t="str">
        <x:v>栗子（熟）</x:v>
      </x:c>
      <x:c r="D147" s="47" t="str">
        <x:v>熟/可食部</x:v>
      </x:c>
      <x:c r="E147" s="48" t="n">
        <x:v>131</x:v>
      </x:c>
      <x:c r="F147" s="48" t="n">
        <x:v>2</x:v>
      </x:c>
      <x:c r="G147" s="48" t="n">
        <x:v>1.4</x:v>
      </x:c>
      <x:c r="H147" s="48" t="n">
        <x:v>28</x:v>
      </x:c>
      <x:c r="I147" s="49" t="n">
        <x:v>27</x:v>
      </x:c>
      <x:c r="J147" s="47" t="str">
        <x:v>USDA FDC / Taiwan FDA / estimate</x:v>
      </x:c>
      <x:c r="K147" s="47"/>
      <x:c r="L147" s="47" t="str">
        <x:v>https://fdc.nal.usda.gov/ ; https://www.fda.gov.tw/tc/siteList.aspx?sid=284 ; https://consumer.fda.gov.tw/Food/TFND.aspx?nodeID=178</x:v>
      </x:c>
    </x:row>
    <x:row r="148">
      <x:c r="A148" s="47" t="str">
        <x:v>ST059</x:v>
      </x:c>
      <x:c r="B148" s="47" t="str">
        <x:v>主食/澱粉</x:v>
      </x:c>
      <x:c r="C148" s="47" t="str">
        <x:v>蓮子（熟）</x:v>
      </x:c>
      <x:c r="D148" s="47" t="str">
        <x:v>熟/可食部</x:v>
      </x:c>
      <x:c r="E148" s="48" t="n">
        <x:v>89</x:v>
      </x:c>
      <x:c r="F148" s="48" t="n">
        <x:v>4.1</x:v>
      </x:c>
      <x:c r="G148" s="48" t="n">
        <x:v>0.5</x:v>
      </x:c>
      <x:c r="H148" s="48" t="n">
        <x:v>17.3</x:v>
      </x:c>
      <x:c r="I148" s="49" t="n">
        <x:v>1</x:v>
      </x:c>
      <x:c r="J148" s="47" t="str">
        <x:v>USDA FDC / Taiwan FDA / estimate</x:v>
      </x:c>
      <x:c r="K148" s="47"/>
      <x:c r="L148" s="47" t="str">
        <x:v>https://fdc.nal.usda.gov/ ; https://www.fda.gov.tw/tc/siteList.aspx?sid=284 ; https://consumer.fda.gov.tw/Food/TFND.aspx?nodeID=178</x:v>
      </x:c>
    </x:row>
    <x:row r="149">
      <x:c r="A149" s="47" t="str">
        <x:v>ST060</x:v>
      </x:c>
      <x:c r="B149" s="47" t="str">
        <x:v>主食/澱粉</x:v>
      </x:c>
      <x:c r="C149" s="47" t="str">
        <x:v>菱角（熟）</x:v>
      </x:c>
      <x:c r="D149" s="47" t="str">
        <x:v>熟/可食部</x:v>
      </x:c>
      <x:c r="E149" s="48" t="n">
        <x:v>97</x:v>
      </x:c>
      <x:c r="F149" s="48" t="n">
        <x:v>3.5</x:v>
      </x:c>
      <x:c r="G149" s="48" t="n">
        <x:v>0.2</x:v>
      </x:c>
      <x:c r="H149" s="48" t="n">
        <x:v>21</x:v>
      </x:c>
      <x:c r="I149" s="49" t="n">
        <x:v>6</x:v>
      </x:c>
      <x:c r="J149" s="47" t="str">
        <x:v>USDA FDC / Taiwan FDA / estimate</x:v>
      </x:c>
      <x:c r="K149" s="47"/>
      <x:c r="L149" s="47" t="str">
        <x:v>https://fdc.nal.usda.gov/ ; https://www.fda.gov.tw/tc/siteList.aspx?sid=284 ; https://consumer.fda.gov.tw/Food/TFND.aspx?nodeID=178</x:v>
      </x:c>
    </x:row>
    <x:row r="150">
      <x:c r="A150" s="47" t="str">
        <x:v>ST061</x:v>
      </x:c>
      <x:c r="B150" s="47" t="str">
        <x:v>主食/澱粉</x:v>
      </x:c>
      <x:c r="C150" s="47" t="str">
        <x:v>馬鈴薯（烤）</x:v>
      </x:c>
      <x:c r="D150" s="47" t="str">
        <x:v>熟/可食部</x:v>
      </x:c>
      <x:c r="E150" s="48" t="n">
        <x:v>93</x:v>
      </x:c>
      <x:c r="F150" s="48" t="n">
        <x:v>2.5</x:v>
      </x:c>
      <x:c r="G150" s="48" t="n">
        <x:v>0.1</x:v>
      </x:c>
      <x:c r="H150" s="48" t="n">
        <x:v>21.2</x:v>
      </x:c>
      <x:c r="I150" s="49" t="n">
        <x:v>10</x:v>
      </x:c>
      <x:c r="J150" s="47" t="str">
        <x:v>USDA FDC / Taiwan FDA / estimate</x:v>
      </x:c>
      <x:c r="K150" s="47"/>
      <x:c r="L150" s="47" t="str">
        <x:v>https://fdc.nal.usda.gov/ ; https://www.fda.gov.tw/tc/siteList.aspx?sid=284 ; https://consumer.fda.gov.tw/Food/TFND.aspx?nodeID=178</x:v>
      </x:c>
    </x:row>
    <x:row r="151">
      <x:c r="A151" s="47" t="str">
        <x:v>ST062</x:v>
      </x:c>
      <x:c r="B151" s="47" t="str">
        <x:v>主食/澱粉</x:v>
      </x:c>
      <x:c r="C151" s="47" t="str">
        <x:v>馬鈴薯（生）</x:v>
      </x:c>
      <x:c r="D151" s="47" t="str">
        <x:v>生/可食部</x:v>
      </x:c>
      <x:c r="E151" s="48" t="n">
        <x:v>77</x:v>
      </x:c>
      <x:c r="F151" s="48" t="n">
        <x:v>2</x:v>
      </x:c>
      <x:c r="G151" s="48" t="n">
        <x:v>0.1</x:v>
      </x:c>
      <x:c r="H151" s="48" t="n">
        <x:v>17.5</x:v>
      </x:c>
      <x:c r="I151" s="49" t="n">
        <x:v>6</x:v>
      </x:c>
      <x:c r="J151" s="47" t="str">
        <x:v>USDA FDC / Taiwan FDA / estimate</x:v>
      </x:c>
      <x:c r="K151" s="47" t="str">
        <x:v>生重工程用</x:v>
      </x:c>
      <x:c r="L151" s="47" t="str">
        <x:v>https://fdc.nal.usda.gov/ ; https://www.fda.gov.tw/tc/siteList.aspx?sid=284 ; https://consumer.fda.gov.tw/Food/TFND.aspx?nodeID=178</x:v>
      </x:c>
    </x:row>
    <x:row r="152">
      <x:c r="A152" s="47" t="str">
        <x:v>ST063</x:v>
      </x:c>
      <x:c r="B152" s="47" t="str">
        <x:v>主食/澱粉</x:v>
      </x:c>
      <x:c r="C152" s="47" t="str">
        <x:v>地瓜（烤）</x:v>
      </x:c>
      <x:c r="D152" s="47" t="str">
        <x:v>熟/可食部</x:v>
      </x:c>
      <x:c r="E152" s="48" t="n">
        <x:v>103</x:v>
      </x:c>
      <x:c r="F152" s="48" t="n">
        <x:v>2</x:v>
      </x:c>
      <x:c r="G152" s="48" t="n">
        <x:v>0.2</x:v>
      </x:c>
      <x:c r="H152" s="48" t="n">
        <x:v>24</x:v>
      </x:c>
      <x:c r="I152" s="49" t="n">
        <x:v>36</x:v>
      </x:c>
      <x:c r="J152" s="47" t="str">
        <x:v>USDA FDC / Taiwan FDA / estimate</x:v>
      </x:c>
      <x:c r="K152" s="47"/>
      <x:c r="L152" s="47" t="str">
        <x:v>https://fdc.nal.usda.gov/ ; https://www.fda.gov.tw/tc/siteList.aspx?sid=284 ; https://consumer.fda.gov.tw/Food/TFND.aspx?nodeID=178</x:v>
      </x:c>
    </x:row>
    <x:row r="153">
      <x:c r="A153" s="47" t="str">
        <x:v>ST064</x:v>
      </x:c>
      <x:c r="B153" s="47" t="str">
        <x:v>主食/澱粉</x:v>
      </x:c>
      <x:c r="C153" s="47" t="str">
        <x:v>紫地瓜（蒸）</x:v>
      </x:c>
      <x:c r="D153" s="47" t="str">
        <x:v>熟/可食部</x:v>
      </x:c>
      <x:c r="E153" s="48" t="n">
        <x:v>115</x:v>
      </x:c>
      <x:c r="F153" s="48" t="n">
        <x:v>1.7</x:v>
      </x:c>
      <x:c r="G153" s="48" t="n">
        <x:v>0.2</x:v>
      </x:c>
      <x:c r="H153" s="48" t="n">
        <x:v>27</x:v>
      </x:c>
      <x:c r="I153" s="49" t="n">
        <x:v>30</x:v>
      </x:c>
      <x:c r="J153" s="47" t="str">
        <x:v>USDA FDC / Taiwan FDA / estimate</x:v>
      </x:c>
      <x:c r="K153" s="47"/>
      <x:c r="L153" s="47" t="str">
        <x:v>https://fdc.nal.usda.gov/ ; https://www.fda.gov.tw/tc/siteList.aspx?sid=284 ; https://consumer.fda.gov.tw/Food/TFND.aspx?nodeID=178</x:v>
      </x:c>
    </x:row>
    <x:row r="154">
      <x:c r="A154" s="47" t="str">
        <x:v>ST065</x:v>
      </x:c>
      <x:c r="B154" s="47" t="str">
        <x:v>主食/澱粉</x:v>
      </x:c>
      <x:c r="C154" s="47" t="str">
        <x:v>樹薯/木薯（熟）</x:v>
      </x:c>
      <x:c r="D154" s="47" t="str">
        <x:v>熟/可食部</x:v>
      </x:c>
      <x:c r="E154" s="48" t="n">
        <x:v>160</x:v>
      </x:c>
      <x:c r="F154" s="48" t="n">
        <x:v>1.4</x:v>
      </x:c>
      <x:c r="G154" s="48" t="n">
        <x:v>0.3</x:v>
      </x:c>
      <x:c r="H154" s="48" t="n">
        <x:v>38.1</x:v>
      </x:c>
      <x:c r="I154" s="49" t="n">
        <x:v>14</x:v>
      </x:c>
      <x:c r="J154" s="47" t="str">
        <x:v>USDA FDC / Taiwan FDA / estimate</x:v>
      </x:c>
      <x:c r="K154" s="47"/>
      <x:c r="L154" s="47" t="str">
        <x:v>https://fdc.nal.usda.gov/ ; https://www.fda.gov.tw/tc/siteList.aspx?sid=284 ; https://consumer.fda.gov.tw/Food/TFND.aspx?nodeID=178</x:v>
      </x:c>
    </x:row>
    <x:row r="155">
      <x:c r="A155" s="47" t="str">
        <x:v>ST066</x:v>
      </x:c>
      <x:c r="B155" s="47" t="str">
        <x:v>主食/澱粉</x:v>
      </x:c>
      <x:c r="C155" s="47" t="str">
        <x:v>白麵粉</x:v>
      </x:c>
      <x:c r="D155" s="47" t="str">
        <x:v>乾/可食部</x:v>
      </x:c>
      <x:c r="E155" s="48" t="n">
        <x:v>364</x:v>
      </x:c>
      <x:c r="F155" s="48" t="n">
        <x:v>10.3</x:v>
      </x:c>
      <x:c r="G155" s="48" t="n">
        <x:v>1</x:v>
      </x:c>
      <x:c r="H155" s="48" t="n">
        <x:v>76.3</x:v>
      </x:c>
      <x:c r="I155" s="49" t="n">
        <x:v>2</x:v>
      </x:c>
      <x:c r="J155" s="47" t="str">
        <x:v>USDA FDC / Taiwan FDA / estimate</x:v>
      </x:c>
      <x:c r="K155" s="47" t="str">
        <x:v>原料乾重</x:v>
      </x:c>
      <x:c r="L155" s="47" t="str">
        <x:v>https://fdc.nal.usda.gov/ ; https://www.fda.gov.tw/tc/siteList.aspx?sid=284 ; https://consumer.fda.gov.tw/Food/TFND.aspx?nodeID=178</x:v>
      </x:c>
    </x:row>
    <x:row r="156">
      <x:c r="A156" s="47" t="str">
        <x:v>ST067</x:v>
      </x:c>
      <x:c r="B156" s="47" t="str">
        <x:v>主食/澱粉</x:v>
      </x:c>
      <x:c r="C156" s="47" t="str">
        <x:v>全麥麵粉</x:v>
      </x:c>
      <x:c r="D156" s="47" t="str">
        <x:v>乾/可食部</x:v>
      </x:c>
      <x:c r="E156" s="48" t="n">
        <x:v>340</x:v>
      </x:c>
      <x:c r="F156" s="48" t="n">
        <x:v>13.2</x:v>
      </x:c>
      <x:c r="G156" s="48" t="n">
        <x:v>2.5</x:v>
      </x:c>
      <x:c r="H156" s="48" t="n">
        <x:v>72</x:v>
      </x:c>
      <x:c r="I156" s="49" t="n">
        <x:v>5</x:v>
      </x:c>
      <x:c r="J156" s="47" t="str">
        <x:v>USDA FDC / Taiwan FDA / estimate</x:v>
      </x:c>
      <x:c r="K156" s="47" t="str">
        <x:v>原料乾重</x:v>
      </x:c>
      <x:c r="L156" s="47" t="str">
        <x:v>https://fdc.nal.usda.gov/ ; https://www.fda.gov.tw/tc/siteList.aspx?sid=284 ; https://consumer.fda.gov.tw/Food/TFND.aspx?nodeID=178</x:v>
      </x:c>
    </x:row>
    <x:row r="157">
      <x:c r="A157" s="47" t="str">
        <x:v>ST068</x:v>
      </x:c>
      <x:c r="B157" s="47" t="str">
        <x:v>主食/澱粉</x:v>
      </x:c>
      <x:c r="C157" s="47" t="str">
        <x:v>在來米粉</x:v>
      </x:c>
      <x:c r="D157" s="47" t="str">
        <x:v>乾/可食部</x:v>
      </x:c>
      <x:c r="E157" s="48" t="n">
        <x:v>366</x:v>
      </x:c>
      <x:c r="F157" s="48" t="n">
        <x:v>6</x:v>
      </x:c>
      <x:c r="G157" s="48" t="n">
        <x:v>0.6</x:v>
      </x:c>
      <x:c r="H157" s="48" t="n">
        <x:v>81</x:v>
      </x:c>
      <x:c r="I157" s="49" t="n">
        <x:v>5</x:v>
      </x:c>
      <x:c r="J157" s="47" t="str">
        <x:v>USDA FDC / Taiwan FDA / estimate</x:v>
      </x:c>
      <x:c r="K157" s="47" t="str">
        <x:v>原料乾重</x:v>
      </x:c>
      <x:c r="L157" s="47" t="str">
        <x:v>https://fdc.nal.usda.gov/ ; https://www.fda.gov.tw/tc/siteList.aspx?sid=284 ; https://consumer.fda.gov.tw/Food/TFND.aspx?nodeID=178</x:v>
      </x:c>
    </x:row>
    <x:row r="158">
      <x:c r="A158" s="47" t="str">
        <x:v>ST069</x:v>
      </x:c>
      <x:c r="B158" s="47" t="str">
        <x:v>主食/澱粉</x:v>
      </x:c>
      <x:c r="C158" s="47" t="str">
        <x:v>玉米粉</x:v>
      </x:c>
      <x:c r="D158" s="47" t="str">
        <x:v>乾/可食部</x:v>
      </x:c>
      <x:c r="E158" s="48" t="n">
        <x:v>365</x:v>
      </x:c>
      <x:c r="F158" s="48" t="n">
        <x:v>7</x:v>
      </x:c>
      <x:c r="G158" s="48" t="n">
        <x:v>3.9</x:v>
      </x:c>
      <x:c r="H158" s="48" t="n">
        <x:v>76.9</x:v>
      </x:c>
      <x:c r="I158" s="49" t="n">
        <x:v>35</x:v>
      </x:c>
      <x:c r="J158" s="47" t="str">
        <x:v>USDA FDC / Taiwan FDA / estimate</x:v>
      </x:c>
      <x:c r="K158" s="47" t="str">
        <x:v>原料乾重</x:v>
      </x:c>
      <x:c r="L158" s="47" t="str">
        <x:v>https://fdc.nal.usda.gov/ ; https://www.fda.gov.tw/tc/siteList.aspx?sid=284 ; https://consumer.fda.gov.tw/Food/TFND.aspx?nodeID=178</x:v>
      </x:c>
    </x:row>
    <x:row r="159">
      <x:c r="A159" s="47" t="str">
        <x:v>ST070</x:v>
      </x:c>
      <x:c r="B159" s="47" t="str">
        <x:v>主食/澱粉</x:v>
      </x:c>
      <x:c r="C159" s="47" t="str">
        <x:v>太白粉</x:v>
      </x:c>
      <x:c r="D159" s="47" t="str">
        <x:v>乾/可食部</x:v>
      </x:c>
      <x:c r="E159" s="48" t="n">
        <x:v>357</x:v>
      </x:c>
      <x:c r="F159" s="48" t="n">
        <x:v>0.3</x:v>
      </x:c>
      <x:c r="G159" s="48" t="n">
        <x:v>0.1</x:v>
      </x:c>
      <x:c r="H159" s="48" t="n">
        <x:v>88</x:v>
      </x:c>
      <x:c r="I159" s="49" t="n">
        <x:v>10</x:v>
      </x:c>
      <x:c r="J159" s="47" t="str">
        <x:v>USDA FDC / Taiwan FDA / estimate</x:v>
      </x:c>
      <x:c r="K159" s="47" t="str">
        <x:v>原料乾重</x:v>
      </x:c>
      <x:c r="L159" s="47" t="str">
        <x:v>https://fdc.nal.usda.gov/ ; https://www.fda.gov.tw/tc/siteList.aspx?sid=284 ; https://consumer.fda.gov.tw/Food/TFND.aspx?nodeID=178</x:v>
      </x:c>
    </x:row>
    <x:row r="160">
      <x:c r="A160" s="47" t="str">
        <x:v>ME015</x:v>
      </x:c>
      <x:c r="B160" s="47" t="str">
        <x:v>肉類/蛋白質</x:v>
      </x:c>
      <x:c r="C160" s="47" t="str">
        <x:v>雞胸肉（生去皮）</x:v>
      </x:c>
      <x:c r="D160" s="47" t="str">
        <x:v>生/可食部</x:v>
      </x:c>
      <x:c r="E160" s="48" t="n">
        <x:v>120</x:v>
      </x:c>
      <x:c r="F160" s="48" t="n">
        <x:v>22.5</x:v>
      </x:c>
      <x:c r="G160" s="48" t="n">
        <x:v>2.6</x:v>
      </x:c>
      <x:c r="H160" s="48" t="n">
        <x:v>0</x:v>
      </x:c>
      <x:c r="I160" s="49" t="n">
        <x:v>45</x:v>
      </x:c>
      <x:c r="J160" s="47" t="str">
        <x:v>USDA FDC / Taiwan FDA / estimate</x:v>
      </x:c>
      <x:c r="K160" s="47"/>
      <x:c r="L160" s="47" t="str">
        <x:v>https://fdc.nal.usda.gov/ ; https://www.fda.gov.tw/tc/siteList.aspx?sid=284 ; https://consumer.fda.gov.tw/Food/TFND.aspx?nodeID=178</x:v>
      </x:c>
    </x:row>
    <x:row r="161">
      <x:c r="A161" s="47" t="str">
        <x:v>ME016</x:v>
      </x:c>
      <x:c r="B161" s="47" t="str">
        <x:v>肉類/蛋白質</x:v>
      </x:c>
      <x:c r="C161" s="47" t="str">
        <x:v>雞胸肉（熟帶皮）</x:v>
      </x:c>
      <x:c r="D161" s="47" t="str">
        <x:v>熟/可食部</x:v>
      </x:c>
      <x:c r="E161" s="48" t="n">
        <x:v>197</x:v>
      </x:c>
      <x:c r="F161" s="48" t="n">
        <x:v>29.8</x:v>
      </x:c>
      <x:c r="G161" s="48" t="n">
        <x:v>7.8</x:v>
      </x:c>
      <x:c r="H161" s="48" t="n">
        <x:v>0</x:v>
      </x:c>
      <x:c r="I161" s="49" t="n">
        <x:v>72</x:v>
      </x:c>
      <x:c r="J161" s="47" t="str">
        <x:v>USDA FDC / Taiwan FDA / estimate</x:v>
      </x:c>
      <x:c r="K161" s="47"/>
      <x:c r="L161" s="47" t="str">
        <x:v>https://fdc.nal.usda.gov/ ; https://www.fda.gov.tw/tc/siteList.aspx?sid=284 ; https://consumer.fda.gov.tw/Food/TFND.aspx?nodeID=178</x:v>
      </x:c>
    </x:row>
    <x:row r="162">
      <x:c r="A162" s="47" t="str">
        <x:v>ME017</x:v>
      </x:c>
      <x:c r="B162" s="47" t="str">
        <x:v>肉類/蛋白質</x:v>
      </x:c>
      <x:c r="C162" s="47" t="str">
        <x:v>雞腿肉（生去皮）</x:v>
      </x:c>
      <x:c r="D162" s="47" t="str">
        <x:v>生/可食部</x:v>
      </x:c>
      <x:c r="E162" s="48" t="n">
        <x:v>119</x:v>
      </x:c>
      <x:c r="F162" s="48" t="n">
        <x:v>19.7</x:v>
      </x:c>
      <x:c r="G162" s="48" t="n">
        <x:v>3.9</x:v>
      </x:c>
      <x:c r="H162" s="48" t="n">
        <x:v>0</x:v>
      </x:c>
      <x:c r="I162" s="49" t="n">
        <x:v>75</x:v>
      </x:c>
      <x:c r="J162" s="47" t="str">
        <x:v>USDA FDC / Taiwan FDA / estimate</x:v>
      </x:c>
      <x:c r="K162" s="47"/>
      <x:c r="L162" s="47" t="str">
        <x:v>https://fdc.nal.usda.gov/ ; https://www.fda.gov.tw/tc/siteList.aspx?sid=284 ; https://consumer.fda.gov.tw/Food/TFND.aspx?nodeID=178</x:v>
      </x:c>
    </x:row>
    <x:row r="163">
      <x:c r="A163" s="47" t="str">
        <x:v>ME018</x:v>
      </x:c>
      <x:c r="B163" s="47" t="str">
        <x:v>肉類/蛋白質</x:v>
      </x:c>
      <x:c r="C163" s="47" t="str">
        <x:v>雞腿肉（熟帶皮）</x:v>
      </x:c>
      <x:c r="D163" s="47" t="str">
        <x:v>熟/可食部</x:v>
      </x:c>
      <x:c r="E163" s="48" t="n">
        <x:v>232</x:v>
      </x:c>
      <x:c r="F163" s="48" t="n">
        <x:v>25.9</x:v>
      </x:c>
      <x:c r="G163" s="48" t="n">
        <x:v>13.5</x:v>
      </x:c>
      <x:c r="H163" s="48" t="n">
        <x:v>0</x:v>
      </x:c>
      <x:c r="I163" s="49" t="n">
        <x:v>82</x:v>
      </x:c>
      <x:c r="J163" s="47" t="str">
        <x:v>USDA FDC / Taiwan FDA / estimate</x:v>
      </x:c>
      <x:c r="K163" s="47"/>
      <x:c r="L163" s="47" t="str">
        <x:v>https://fdc.nal.usda.gov/ ; https://www.fda.gov.tw/tc/siteList.aspx?sid=284 ; https://consumer.fda.gov.tw/Food/TFND.aspx?nodeID=178</x:v>
      </x:c>
    </x:row>
    <x:row r="164">
      <x:c r="A164" s="47" t="str">
        <x:v>ME019</x:v>
      </x:c>
      <x:c r="B164" s="47" t="str">
        <x:v>肉類/蛋白質</x:v>
      </x:c>
      <x:c r="C164" s="47" t="str">
        <x:v>雞小腿（熟）</x:v>
      </x:c>
      <x:c r="D164" s="47" t="str">
        <x:v>熟/可食部</x:v>
      </x:c>
      <x:c r="E164" s="48" t="n">
        <x:v>216</x:v>
      </x:c>
      <x:c r="F164" s="48" t="n">
        <x:v>27</x:v>
      </x:c>
      <x:c r="G164" s="48" t="n">
        <x:v>11.2</x:v>
      </x:c>
      <x:c r="H164" s="48" t="n">
        <x:v>0</x:v>
      </x:c>
      <x:c r="I164" s="49" t="n">
        <x:v>90</x:v>
      </x:c>
      <x:c r="J164" s="47" t="str">
        <x:v>USDA FDC / Taiwan FDA / estimate</x:v>
      </x:c>
      <x:c r="K164" s="47"/>
      <x:c r="L164" s="47" t="str">
        <x:v>https://fdc.nal.usda.gov/ ; https://www.fda.gov.tw/tc/siteList.aspx?sid=284 ; https://consumer.fda.gov.tw/Food/TFND.aspx?nodeID=178</x:v>
      </x:c>
    </x:row>
    <x:row r="165">
      <x:c r="A165" s="47" t="str">
        <x:v>ME020</x:v>
      </x:c>
      <x:c r="B165" s="47" t="str">
        <x:v>肉類/蛋白質</x:v>
      </x:c>
      <x:c r="C165" s="47" t="str">
        <x:v>雞里肌/雞柳（熟）</x:v>
      </x:c>
      <x:c r="D165" s="47" t="str">
        <x:v>熟/可食部</x:v>
      </x:c>
      <x:c r="E165" s="48" t="n">
        <x:v>164</x:v>
      </x:c>
      <x:c r="F165" s="48" t="n">
        <x:v>31</x:v>
      </x:c>
      <x:c r="G165" s="48" t="n">
        <x:v>3.2</x:v>
      </x:c>
      <x:c r="H165" s="48" t="n">
        <x:v>0</x:v>
      </x:c>
      <x:c r="I165" s="49" t="n">
        <x:v>70</x:v>
      </x:c>
      <x:c r="J165" s="47" t="str">
        <x:v>USDA FDC / Taiwan FDA / estimate</x:v>
      </x:c>
      <x:c r="K165" s="47"/>
      <x:c r="L165" s="47" t="str">
        <x:v>https://fdc.nal.usda.gov/ ; https://www.fda.gov.tw/tc/siteList.aspx?sid=284 ; https://consumer.fda.gov.tw/Food/TFND.aspx?nodeID=178</x:v>
      </x:c>
    </x:row>
    <x:row r="166">
      <x:c r="A166" s="47" t="str">
        <x:v>ME021</x:v>
      </x:c>
      <x:c r="B166" s="47" t="str">
        <x:v>肉類/蛋白質</x:v>
      </x:c>
      <x:c r="C166" s="47" t="str">
        <x:v>雞肝（熟）</x:v>
      </x:c>
      <x:c r="D166" s="47" t="str">
        <x:v>熟/可食部</x:v>
      </x:c>
      <x:c r="E166" s="48" t="n">
        <x:v>167</x:v>
      </x:c>
      <x:c r="F166" s="48" t="n">
        <x:v>24.5</x:v>
      </x:c>
      <x:c r="G166" s="48" t="n">
        <x:v>6.5</x:v>
      </x:c>
      <x:c r="H166" s="48" t="n">
        <x:v>0.9</x:v>
      </x:c>
      <x:c r="I166" s="49" t="n">
        <x:v>76</x:v>
      </x:c>
      <x:c r="J166" s="47" t="str">
        <x:v>USDA FDC / Taiwan FDA / estimate</x:v>
      </x:c>
      <x:c r="K166" s="47"/>
      <x:c r="L166" s="47" t="str">
        <x:v>https://fdc.nal.usda.gov/ ; https://www.fda.gov.tw/tc/siteList.aspx?sid=284 ; https://consumer.fda.gov.tw/Food/TFND.aspx?nodeID=178</x:v>
      </x:c>
    </x:row>
    <x:row r="167">
      <x:c r="A167" s="47" t="str">
        <x:v>ME022</x:v>
      </x:c>
      <x:c r="B167" s="47" t="str">
        <x:v>肉類/蛋白質</x:v>
      </x:c>
      <x:c r="C167" s="47" t="str">
        <x:v>雞心（熟）</x:v>
      </x:c>
      <x:c r="D167" s="47" t="str">
        <x:v>熟/可食部</x:v>
      </x:c>
      <x:c r="E167" s="48" t="n">
        <x:v>185</x:v>
      </x:c>
      <x:c r="F167" s="48" t="n">
        <x:v>26</x:v>
      </x:c>
      <x:c r="G167" s="48" t="n">
        <x:v>8</x:v>
      </x:c>
      <x:c r="H167" s="48" t="n">
        <x:v>0</x:v>
      </x:c>
      <x:c r="I167" s="49" t="n">
        <x:v>74</x:v>
      </x:c>
      <x:c r="J167" s="47" t="str">
        <x:v>USDA FDC / Taiwan FDA / estimate</x:v>
      </x:c>
      <x:c r="K167" s="47"/>
      <x:c r="L167" s="47" t="str">
        <x:v>https://fdc.nal.usda.gov/ ; https://www.fda.gov.tw/tc/siteList.aspx?sid=284 ; https://consumer.fda.gov.tw/Food/TFND.aspx?nodeID=178</x:v>
      </x:c>
    </x:row>
    <x:row r="168">
      <x:c r="A168" s="47" t="str">
        <x:v>ME023</x:v>
      </x:c>
      <x:c r="B168" s="47" t="str">
        <x:v>肉類/蛋白質</x:v>
      </x:c>
      <x:c r="C168" s="47" t="str">
        <x:v>雞胗（熟）</x:v>
      </x:c>
      <x:c r="D168" s="47" t="str">
        <x:v>熟/可食部</x:v>
      </x:c>
      <x:c r="E168" s="48" t="n">
        <x:v>154</x:v>
      </x:c>
      <x:c r="F168" s="48" t="n">
        <x:v>30</x:v>
      </x:c>
      <x:c r="G168" s="48" t="n">
        <x:v>2.7</x:v>
      </x:c>
      <x:c r="H168" s="48" t="n">
        <x:v>0</x:v>
      </x:c>
      <x:c r="I168" s="49" t="n">
        <x:v>69</x:v>
      </x:c>
      <x:c r="J168" s="47" t="str">
        <x:v>USDA FDC / Taiwan FDA / estimate</x:v>
      </x:c>
      <x:c r="K168" s="47"/>
      <x:c r="L168" s="47" t="str">
        <x:v>https://fdc.nal.usda.gov/ ; https://www.fda.gov.tw/tc/siteList.aspx?sid=284 ; https://consumer.fda.gov.tw/Food/TFND.aspx?nodeID=178</x:v>
      </x:c>
    </x:row>
    <x:row r="169">
      <x:c r="A169" s="47" t="str">
        <x:v>ME024</x:v>
      </x:c>
      <x:c r="B169" s="47" t="str">
        <x:v>肉類/蛋白質</x:v>
      </x:c>
      <x:c r="C169" s="47" t="str">
        <x:v>火雞胸肉（熟）</x:v>
      </x:c>
      <x:c r="D169" s="47" t="str">
        <x:v>熟/可食部</x:v>
      </x:c>
      <x:c r="E169" s="48" t="n">
        <x:v>135</x:v>
      </x:c>
      <x:c r="F169" s="48" t="n">
        <x:v>29</x:v>
      </x:c>
      <x:c r="G169" s="48" t="n">
        <x:v>1.6</x:v>
      </x:c>
      <x:c r="H169" s="48" t="n">
        <x:v>0</x:v>
      </x:c>
      <x:c r="I169" s="49" t="n">
        <x:v>60</x:v>
      </x:c>
      <x:c r="J169" s="47" t="str">
        <x:v>USDA FDC / Taiwan FDA / estimate</x:v>
      </x:c>
      <x:c r="K169" s="47"/>
      <x:c r="L169" s="47" t="str">
        <x:v>https://fdc.nal.usda.gov/ ; https://www.fda.gov.tw/tc/siteList.aspx?sid=284 ; https://consumer.fda.gov.tw/Food/TFND.aspx?nodeID=178</x:v>
      </x:c>
    </x:row>
    <x:row r="170">
      <x:c r="A170" s="47" t="str">
        <x:v>ME025</x:v>
      </x:c>
      <x:c r="B170" s="47" t="str">
        <x:v>肉類/蛋白質</x:v>
      </x:c>
      <x:c r="C170" s="47" t="str">
        <x:v>火雞腿肉（熟）</x:v>
      </x:c>
      <x:c r="D170" s="47" t="str">
        <x:v>熟/可食部</x:v>
      </x:c>
      <x:c r="E170" s="48" t="n">
        <x:v>170</x:v>
      </x:c>
      <x:c r="F170" s="48" t="n">
        <x:v>28</x:v>
      </x:c>
      <x:c r="G170" s="48" t="n">
        <x:v>6</x:v>
      </x:c>
      <x:c r="H170" s="48" t="n">
        <x:v>0</x:v>
      </x:c>
      <x:c r="I170" s="49" t="n">
        <x:v>70</x:v>
      </x:c>
      <x:c r="J170" s="47" t="str">
        <x:v>USDA FDC / Taiwan FDA / estimate</x:v>
      </x:c>
      <x:c r="K170" s="47"/>
      <x:c r="L170" s="47" t="str">
        <x:v>https://fdc.nal.usda.gov/ ; https://www.fda.gov.tw/tc/siteList.aspx?sid=284 ; https://consumer.fda.gov.tw/Food/TFND.aspx?nodeID=178</x:v>
      </x:c>
    </x:row>
    <x:row r="171">
      <x:c r="A171" s="47" t="str">
        <x:v>ME026</x:v>
      </x:c>
      <x:c r="B171" s="47" t="str">
        <x:v>肉類/蛋白質</x:v>
      </x:c>
      <x:c r="C171" s="47" t="str">
        <x:v>豬里肌（生）</x:v>
      </x:c>
      <x:c r="D171" s="47" t="str">
        <x:v>生/可食部</x:v>
      </x:c>
      <x:c r="E171" s="48" t="n">
        <x:v>143</x:v>
      </x:c>
      <x:c r="F171" s="48" t="n">
        <x:v>21</x:v>
      </x:c>
      <x:c r="G171" s="48" t="n">
        <x:v>5</x:v>
      </x:c>
      <x:c r="H171" s="48" t="n">
        <x:v>0</x:v>
      </x:c>
      <x:c r="I171" s="49" t="n">
        <x:v>55</x:v>
      </x:c>
      <x:c r="J171" s="47" t="str">
        <x:v>USDA FDC / Taiwan FDA / estimate</x:v>
      </x:c>
      <x:c r="K171" s="47"/>
      <x:c r="L171" s="47" t="str">
        <x:v>https://fdc.nal.usda.gov/ ; https://www.fda.gov.tw/tc/siteList.aspx?sid=284 ; https://consumer.fda.gov.tw/Food/TFND.aspx?nodeID=178</x:v>
      </x:c>
    </x:row>
    <x:row r="172">
      <x:c r="A172" s="47" t="str">
        <x:v>ME027</x:v>
      </x:c>
      <x:c r="B172" s="47" t="str">
        <x:v>肉類/蛋白質</x:v>
      </x:c>
      <x:c r="C172" s="47" t="str">
        <x:v>豬小里肌（熟）</x:v>
      </x:c>
      <x:c r="D172" s="47" t="str">
        <x:v>熟/可食部</x:v>
      </x:c>
      <x:c r="E172" s="48" t="n">
        <x:v>143</x:v>
      </x:c>
      <x:c r="F172" s="48" t="n">
        <x:v>26</x:v>
      </x:c>
      <x:c r="G172" s="48" t="n">
        <x:v>3.5</x:v>
      </x:c>
      <x:c r="H172" s="48" t="n">
        <x:v>0</x:v>
      </x:c>
      <x:c r="I172" s="49" t="n">
        <x:v>50</x:v>
      </x:c>
      <x:c r="J172" s="47" t="str">
        <x:v>USDA FDC / Taiwan FDA / estimate</x:v>
      </x:c>
      <x:c r="K172" s="47"/>
      <x:c r="L172" s="47" t="str">
        <x:v>https://fdc.nal.usda.gov/ ; https://www.fda.gov.tw/tc/siteList.aspx?sid=284 ; https://consumer.fda.gov.tw/Food/TFND.aspx?nodeID=178</x:v>
      </x:c>
    </x:row>
    <x:row r="173">
      <x:c r="A173" s="47" t="str">
        <x:v>ME028</x:v>
      </x:c>
      <x:c r="B173" s="47" t="str">
        <x:v>肉類/蛋白質</x:v>
      </x:c>
      <x:c r="C173" s="47" t="str">
        <x:v>豬肩肉（熟）</x:v>
      </x:c>
      <x:c r="D173" s="47" t="str">
        <x:v>熟/可食部</x:v>
      </x:c>
      <x:c r="E173" s="48" t="n">
        <x:v>290</x:v>
      </x:c>
      <x:c r="F173" s="48" t="n">
        <x:v>25</x:v>
      </x:c>
      <x:c r="G173" s="48" t="n">
        <x:v>20</x:v>
      </x:c>
      <x:c r="H173" s="48" t="n">
        <x:v>0</x:v>
      </x:c>
      <x:c r="I173" s="49" t="n">
        <x:v>60</x:v>
      </x:c>
      <x:c r="J173" s="47" t="str">
        <x:v>USDA FDC / Taiwan FDA / estimate</x:v>
      </x:c>
      <x:c r="K173" s="47" t="str">
        <x:v>脂肪波動大</x:v>
      </x:c>
      <x:c r="L173" s="47" t="str">
        <x:v>https://fdc.nal.usda.gov/ ; https://www.fda.gov.tw/tc/siteList.aspx?sid=284 ; https://consumer.fda.gov.tw/Food/TFND.aspx?nodeID=178</x:v>
      </x:c>
    </x:row>
    <x:row r="174">
      <x:c r="A174" s="47" t="str">
        <x:v>ME029</x:v>
      </x:c>
      <x:c r="B174" s="47" t="str">
        <x:v>肉類/蛋白質</x:v>
      </x:c>
      <x:c r="C174" s="47" t="str">
        <x:v>豬後腿瘦肉（熟）</x:v>
      </x:c>
      <x:c r="D174" s="47" t="str">
        <x:v>熟/可食部</x:v>
      </x:c>
      <x:c r="E174" s="48" t="n">
        <x:v>180</x:v>
      </x:c>
      <x:c r="F174" s="48" t="n">
        <x:v>29</x:v>
      </x:c>
      <x:c r="G174" s="48" t="n">
        <x:v>6</x:v>
      </x:c>
      <x:c r="H174" s="48" t="n">
        <x:v>0</x:v>
      </x:c>
      <x:c r="I174" s="49" t="n">
        <x:v>60</x:v>
      </x:c>
      <x:c r="J174" s="47" t="str">
        <x:v>USDA FDC / Taiwan FDA / estimate</x:v>
      </x:c>
      <x:c r="K174" s="47"/>
      <x:c r="L174" s="47" t="str">
        <x:v>https://fdc.nal.usda.gov/ ; https://www.fda.gov.tw/tc/siteList.aspx?sid=284 ; https://consumer.fda.gov.tw/Food/TFND.aspx?nodeID=178</x:v>
      </x:c>
    </x:row>
    <x:row r="175">
      <x:c r="A175" s="47" t="str">
        <x:v>ME030</x:v>
      </x:c>
      <x:c r="B175" s="47" t="str">
        <x:v>肉類/蛋白質</x:v>
      </x:c>
      <x:c r="C175" s="47" t="str">
        <x:v>豬排/豬排肉（熟）</x:v>
      </x:c>
      <x:c r="D175" s="47" t="str">
        <x:v>熟/可食部</x:v>
      </x:c>
      <x:c r="E175" s="48" t="n">
        <x:v>231</x:v>
      </x:c>
      <x:c r="F175" s="48" t="n">
        <x:v>26</x:v>
      </x:c>
      <x:c r="G175" s="48" t="n">
        <x:v>13</x:v>
      </x:c>
      <x:c r="H175" s="48" t="n">
        <x:v>0</x:v>
      </x:c>
      <x:c r="I175" s="49" t="n">
        <x:v>70</x:v>
      </x:c>
      <x:c r="J175" s="47" t="str">
        <x:v>USDA FDC / Taiwan FDA / estimate</x:v>
      </x:c>
      <x:c r="K175" s="47" t="str">
        <x:v>不含裹粉與油炸油</x:v>
      </x:c>
      <x:c r="L175" s="47" t="str">
        <x:v>https://fdc.nal.usda.gov/ ; https://www.fda.gov.tw/tc/siteList.aspx?sid=284 ; https://consumer.fda.gov.tw/Food/TFND.aspx?nodeID=178</x:v>
      </x:c>
    </x:row>
    <x:row r="176">
      <x:c r="A176" s="47" t="str">
        <x:v>ME031</x:v>
      </x:c>
      <x:c r="B176" s="47" t="str">
        <x:v>肉類/蛋白質</x:v>
      </x:c>
      <x:c r="C176" s="47" t="str">
        <x:v>豬肋排（熟）</x:v>
      </x:c>
      <x:c r="D176" s="47" t="str">
        <x:v>熟/可食部</x:v>
      </x:c>
      <x:c r="E176" s="48" t="n">
        <x:v>361</x:v>
      </x:c>
      <x:c r="F176" s="48" t="n">
        <x:v>24</x:v>
      </x:c>
      <x:c r="G176" s="48" t="n">
        <x:v>29</x:v>
      </x:c>
      <x:c r="H176" s="48" t="n">
        <x:v>0</x:v>
      </x:c>
      <x:c r="I176" s="49" t="n">
        <x:v>90</x:v>
      </x:c>
      <x:c r="J176" s="47" t="str">
        <x:v>USDA FDC / Taiwan FDA / estimate</x:v>
      </x:c>
      <x:c r="K176" s="47" t="str">
        <x:v>骨頭需扣除不可食重</x:v>
      </x:c>
      <x:c r="L176" s="47" t="str">
        <x:v>https://fdc.nal.usda.gov/ ; https://www.fda.gov.tw/tc/siteList.aspx?sid=284 ; https://consumer.fda.gov.tw/Food/TFND.aspx?nodeID=178</x:v>
      </x:c>
    </x:row>
    <x:row r="177">
      <x:c r="A177" s="47" t="str">
        <x:v>ME032</x:v>
      </x:c>
      <x:c r="B177" s="47" t="str">
        <x:v>肉類/蛋白質</x:v>
      </x:c>
      <x:c r="C177" s="47" t="str">
        <x:v>豬絞肉90%瘦（熟）</x:v>
      </x:c>
      <x:c r="D177" s="47" t="str">
        <x:v>熟/可食部</x:v>
      </x:c>
      <x:c r="E177" s="48" t="n">
        <x:v>210</x:v>
      </x:c>
      <x:c r="F177" s="48" t="n">
        <x:v>28</x:v>
      </x:c>
      <x:c r="G177" s="48" t="n">
        <x:v>10</x:v>
      </x:c>
      <x:c r="H177" s="48" t="n">
        <x:v>0</x:v>
      </x:c>
      <x:c r="I177" s="49" t="n">
        <x:v>75</x:v>
      </x:c>
      <x:c r="J177" s="47" t="str">
        <x:v>USDA FDC / Taiwan FDA / estimate</x:v>
      </x:c>
      <x:c r="K177" s="47"/>
      <x:c r="L177" s="47" t="str">
        <x:v>https://fdc.nal.usda.gov/ ; https://www.fda.gov.tw/tc/siteList.aspx?sid=284 ; https://consumer.fda.gov.tw/Food/TFND.aspx?nodeID=178</x:v>
      </x:c>
    </x:row>
    <x:row r="178">
      <x:c r="A178" s="47" t="str">
        <x:v>ME033</x:v>
      </x:c>
      <x:c r="B178" s="47" t="str">
        <x:v>肉類/蛋白質</x:v>
      </x:c>
      <x:c r="C178" s="47" t="str">
        <x:v>豬絞肉80%瘦（熟）</x:v>
      </x:c>
      <x:c r="D178" s="47" t="str">
        <x:v>熟/可食部</x:v>
      </x:c>
      <x:c r="E178" s="48" t="n">
        <x:v>297</x:v>
      </x:c>
      <x:c r="F178" s="48" t="n">
        <x:v>25</x:v>
      </x:c>
      <x:c r="G178" s="48" t="n">
        <x:v>21</x:v>
      </x:c>
      <x:c r="H178" s="48" t="n">
        <x:v>0</x:v>
      </x:c>
      <x:c r="I178" s="49" t="n">
        <x:v>75</x:v>
      </x:c>
      <x:c r="J178" s="47" t="str">
        <x:v>USDA FDC / Taiwan FDA / estimate</x:v>
      </x:c>
      <x:c r="K178" s="47"/>
      <x:c r="L178" s="47" t="str">
        <x:v>https://fdc.nal.usda.gov/ ; https://www.fda.gov.tw/tc/siteList.aspx?sid=284 ; https://consumer.fda.gov.tw/Food/TFND.aspx?nodeID=178</x:v>
      </x:c>
    </x:row>
    <x:row r="179">
      <x:c r="A179" s="47" t="str">
        <x:v>ME034</x:v>
      </x:c>
      <x:c r="B179" s="47" t="str">
        <x:v>肉類/蛋白質</x:v>
      </x:c>
      <x:c r="C179" s="47" t="str">
        <x:v>豬肝（熟）</x:v>
      </x:c>
      <x:c r="D179" s="47" t="str">
        <x:v>熟/可食部</x:v>
      </x:c>
      <x:c r="E179" s="48" t="n">
        <x:v>165</x:v>
      </x:c>
      <x:c r="F179" s="48" t="n">
        <x:v>26</x:v>
      </x:c>
      <x:c r="G179" s="48" t="n">
        <x:v>4.4</x:v>
      </x:c>
      <x:c r="H179" s="48" t="n">
        <x:v>3.8</x:v>
      </x:c>
      <x:c r="I179" s="49" t="n">
        <x:v>66</x:v>
      </x:c>
      <x:c r="J179" s="47" t="str">
        <x:v>USDA FDC / Taiwan FDA / estimate</x:v>
      </x:c>
      <x:c r="K179" s="47"/>
      <x:c r="L179" s="47" t="str">
        <x:v>https://fdc.nal.usda.gov/ ; https://www.fda.gov.tw/tc/siteList.aspx?sid=284 ; https://consumer.fda.gov.tw/Food/TFND.aspx?nodeID=178</x:v>
      </x:c>
    </x:row>
    <x:row r="180">
      <x:c r="A180" s="47" t="str">
        <x:v>ME035</x:v>
      </x:c>
      <x:c r="B180" s="47" t="str">
        <x:v>肉類/蛋白質</x:v>
      </x:c>
      <x:c r="C180" s="47" t="str">
        <x:v>豬心（熟）</x:v>
      </x:c>
      <x:c r="D180" s="47" t="str">
        <x:v>熟/可食部</x:v>
      </x:c>
      <x:c r="E180" s="48" t="n">
        <x:v>148</x:v>
      </x:c>
      <x:c r="F180" s="48" t="n">
        <x:v>23</x:v>
      </x:c>
      <x:c r="G180" s="48" t="n">
        <x:v>5</x:v>
      </x:c>
      <x:c r="H180" s="48" t="n">
        <x:v>0.4</x:v>
      </x:c>
      <x:c r="I180" s="49" t="n">
        <x:v>64</x:v>
      </x:c>
      <x:c r="J180" s="47" t="str">
        <x:v>USDA FDC / Taiwan FDA / estimate</x:v>
      </x:c>
      <x:c r="K180" s="47"/>
      <x:c r="L180" s="47" t="str">
        <x:v>https://fdc.nal.usda.gov/ ; https://www.fda.gov.tw/tc/siteList.aspx?sid=284 ; https://consumer.fda.gov.tw/Food/TFND.aspx?nodeID=178</x:v>
      </x:c>
    </x:row>
    <x:row r="181">
      <x:c r="A181" s="47" t="str">
        <x:v>ME036</x:v>
      </x:c>
      <x:c r="B181" s="47" t="str">
        <x:v>肉類/蛋白質</x:v>
      </x:c>
      <x:c r="C181" s="47" t="str">
        <x:v>豬腎（熟）</x:v>
      </x:c>
      <x:c r="D181" s="47" t="str">
        <x:v>熟/可食部</x:v>
      </x:c>
      <x:c r="E181" s="48" t="n">
        <x:v>151</x:v>
      </x:c>
      <x:c r="F181" s="48" t="n">
        <x:v>26</x:v>
      </x:c>
      <x:c r="G181" s="48" t="n">
        <x:v>4.7</x:v>
      </x:c>
      <x:c r="H181" s="48" t="n">
        <x:v>0.3</x:v>
      </x:c>
      <x:c r="I181" s="49" t="n">
        <x:v>95</x:v>
      </x:c>
      <x:c r="J181" s="47" t="str">
        <x:v>USDA FDC / Taiwan FDA / estimate</x:v>
      </x:c>
      <x:c r="K181" s="47"/>
      <x:c r="L181" s="47" t="str">
        <x:v>https://fdc.nal.usda.gov/ ; https://www.fda.gov.tw/tc/siteList.aspx?sid=284 ; https://consumer.fda.gov.tw/Food/TFND.aspx?nodeID=178</x:v>
      </x:c>
    </x:row>
    <x:row r="182">
      <x:c r="A182" s="47" t="str">
        <x:v>ME037</x:v>
      </x:c>
      <x:c r="B182" s="47" t="str">
        <x:v>肉類/蛋白質</x:v>
      </x:c>
      <x:c r="C182" s="47" t="str">
        <x:v>豬血</x:v>
      </x:c>
      <x:c r="D182" s="47" t="str">
        <x:v>可食部</x:v>
      </x:c>
      <x:c r="E182" s="48" t="n">
        <x:v>55</x:v>
      </x:c>
      <x:c r="F182" s="48" t="n">
        <x:v>9</x:v>
      </x:c>
      <x:c r="G182" s="48" t="n">
        <x:v>0.3</x:v>
      </x:c>
      <x:c r="H182" s="48" t="n">
        <x:v>4</x:v>
      </x:c>
      <x:c r="I182" s="49" t="n">
        <x:v>80</x:v>
      </x:c>
      <x:c r="J182" s="47" t="str">
        <x:v>USDA FDC / Taiwan FDA / estimate</x:v>
      </x:c>
      <x:c r="K182" s="47" t="str">
        <x:v>品牌/凝固方式差異大</x:v>
      </x:c>
      <x:c r="L182" s="47" t="str">
        <x:v>https://fdc.nal.usda.gov/ ; https://www.fda.gov.tw/tc/siteList.aspx?sid=284 ; https://consumer.fda.gov.tw/Food/TFND.aspx?nodeID=178</x:v>
      </x:c>
    </x:row>
    <x:row r="183">
      <x:c r="A183" s="47" t="str">
        <x:v>ME038</x:v>
      </x:c>
      <x:c r="B183" s="47" t="str">
        <x:v>肉類/蛋白質</x:v>
      </x:c>
      <x:c r="C183" s="47" t="str">
        <x:v>牛小里肌（熟）</x:v>
      </x:c>
      <x:c r="D183" s="47" t="str">
        <x:v>熟/可食部</x:v>
      </x:c>
      <x:c r="E183" s="48" t="n">
        <x:v>209</x:v>
      </x:c>
      <x:c r="F183" s="48" t="n">
        <x:v>29</x:v>
      </x:c>
      <x:c r="G183" s="48" t="n">
        <x:v>9</x:v>
      </x:c>
      <x:c r="H183" s="48" t="n">
        <x:v>0</x:v>
      </x:c>
      <x:c r="I183" s="49" t="n">
        <x:v>55</x:v>
      </x:c>
      <x:c r="J183" s="47" t="str">
        <x:v>USDA FDC / Taiwan FDA / estimate</x:v>
      </x:c>
      <x:c r="K183" s="47"/>
      <x:c r="L183" s="47" t="str">
        <x:v>https://fdc.nal.usda.gov/ ; https://www.fda.gov.tw/tc/siteList.aspx?sid=284 ; https://consumer.fda.gov.tw/Food/TFND.aspx?nodeID=178</x:v>
      </x:c>
    </x:row>
    <x:row r="184">
      <x:c r="A184" s="47" t="str">
        <x:v>ME039</x:v>
      </x:c>
      <x:c r="B184" s="47" t="str">
        <x:v>肉類/蛋白質</x:v>
      </x:c>
      <x:c r="C184" s="47" t="str">
        <x:v>牛沙朗（熟）</x:v>
      </x:c>
      <x:c r="D184" s="47" t="str">
        <x:v>熟/可食部</x:v>
      </x:c>
      <x:c r="E184" s="48" t="n">
        <x:v>244</x:v>
      </x:c>
      <x:c r="F184" s="48" t="n">
        <x:v>27</x:v>
      </x:c>
      <x:c r="G184" s="48" t="n">
        <x:v>14</x:v>
      </x:c>
      <x:c r="H184" s="48" t="n">
        <x:v>0</x:v>
      </x:c>
      <x:c r="I184" s="49" t="n">
        <x:v>60</x:v>
      </x:c>
      <x:c r="J184" s="47" t="str">
        <x:v>USDA FDC / Taiwan FDA / estimate</x:v>
      </x:c>
      <x:c r="K184" s="47"/>
      <x:c r="L184" s="47" t="str">
        <x:v>https://fdc.nal.usda.gov/ ; https://www.fda.gov.tw/tc/siteList.aspx?sid=284 ; https://consumer.fda.gov.tw/Food/TFND.aspx?nodeID=178</x:v>
      </x:c>
    </x:row>
    <x:row r="185">
      <x:c r="A185" s="47" t="str">
        <x:v>ME040</x:v>
      </x:c>
      <x:c r="B185" s="47" t="str">
        <x:v>肉類/蛋白質</x:v>
      </x:c>
      <x:c r="C185" s="47" t="str">
        <x:v>牛肋眼（熟）</x:v>
      </x:c>
      <x:c r="D185" s="47" t="str">
        <x:v>熟/可食部</x:v>
      </x:c>
      <x:c r="E185" s="48" t="n">
        <x:v>291</x:v>
      </x:c>
      <x:c r="F185" s="48" t="n">
        <x:v>24</x:v>
      </x:c>
      <x:c r="G185" s="48" t="n">
        <x:v>21</x:v>
      </x:c>
      <x:c r="H185" s="48" t="n">
        <x:v>0</x:v>
      </x:c>
      <x:c r="I185" s="49" t="n">
        <x:v>55</x:v>
      </x:c>
      <x:c r="J185" s="47" t="str">
        <x:v>USDA FDC / Taiwan FDA / estimate</x:v>
      </x:c>
      <x:c r="K185" s="47" t="str">
        <x:v>脂肪波動大</x:v>
      </x:c>
      <x:c r="L185" s="47" t="str">
        <x:v>https://fdc.nal.usda.gov/ ; https://www.fda.gov.tw/tc/siteList.aspx?sid=284 ; https://consumer.fda.gov.tw/Food/TFND.aspx?nodeID=178</x:v>
      </x:c>
    </x:row>
    <x:row r="186">
      <x:c r="A186" s="47" t="str">
        <x:v>ME041</x:v>
      </x:c>
      <x:c r="B186" s="47" t="str">
        <x:v>肉類/蛋白質</x:v>
      </x:c>
      <x:c r="C186" s="47" t="str">
        <x:v>牛菲力（熟）</x:v>
      </x:c>
      <x:c r="D186" s="47" t="str">
        <x:v>熟/可食部</x:v>
      </x:c>
      <x:c r="E186" s="48" t="n">
        <x:v>218</x:v>
      </x:c>
      <x:c r="F186" s="48" t="n">
        <x:v>30</x:v>
      </x:c>
      <x:c r="G186" s="48" t="n">
        <x:v>10</x:v>
      </x:c>
      <x:c r="H186" s="48" t="n">
        <x:v>0</x:v>
      </x:c>
      <x:c r="I186" s="49" t="n">
        <x:v>55</x:v>
      </x:c>
      <x:c r="J186" s="47" t="str">
        <x:v>USDA FDC / Taiwan FDA / estimate</x:v>
      </x:c>
      <x:c r="K186" s="47"/>
      <x:c r="L186" s="47" t="str">
        <x:v>https://fdc.nal.usda.gov/ ; https://www.fda.gov.tw/tc/siteList.aspx?sid=284 ; https://consumer.fda.gov.tw/Food/TFND.aspx?nodeID=178</x:v>
      </x:c>
    </x:row>
    <x:row r="187">
      <x:c r="A187" s="47" t="str">
        <x:v>ME042</x:v>
      </x:c>
      <x:c r="B187" s="47" t="str">
        <x:v>肉類/蛋白質</x:v>
      </x:c>
      <x:c r="C187" s="47" t="str">
        <x:v>牛板腱（熟）</x:v>
      </x:c>
      <x:c r="D187" s="47" t="str">
        <x:v>熟/可食部</x:v>
      </x:c>
      <x:c r="E187" s="48" t="n">
        <x:v>194</x:v>
      </x:c>
      <x:c r="F187" s="48" t="n">
        <x:v>29</x:v>
      </x:c>
      <x:c r="G187" s="48" t="n">
        <x:v>7</x:v>
      </x:c>
      <x:c r="H187" s="48" t="n">
        <x:v>0</x:v>
      </x:c>
      <x:c r="I187" s="49" t="n">
        <x:v>65</x:v>
      </x:c>
      <x:c r="J187" s="47" t="str">
        <x:v>USDA FDC / Taiwan FDA / estimate</x:v>
      </x:c>
      <x:c r="K187" s="47"/>
      <x:c r="L187" s="47" t="str">
        <x:v>https://fdc.nal.usda.gov/ ; https://www.fda.gov.tw/tc/siteList.aspx?sid=284 ; https://consumer.fda.gov.tw/Food/TFND.aspx?nodeID=178</x:v>
      </x:c>
    </x:row>
    <x:row r="188">
      <x:c r="A188" s="47" t="str">
        <x:v>ME043</x:v>
      </x:c>
      <x:c r="B188" s="47" t="str">
        <x:v>肉類/蛋白質</x:v>
      </x:c>
      <x:c r="C188" s="47" t="str">
        <x:v>牛肩胛（熟）</x:v>
      </x:c>
      <x:c r="D188" s="47" t="str">
        <x:v>熟/可食部</x:v>
      </x:c>
      <x:c r="E188" s="48" t="n">
        <x:v>210</x:v>
      </x:c>
      <x:c r="F188" s="48" t="n">
        <x:v>28</x:v>
      </x:c>
      <x:c r="G188" s="48" t="n">
        <x:v>10</x:v>
      </x:c>
      <x:c r="H188" s="48" t="n">
        <x:v>0</x:v>
      </x:c>
      <x:c r="I188" s="49" t="n">
        <x:v>60</x:v>
      </x:c>
      <x:c r="J188" s="47" t="str">
        <x:v>USDA FDC / Taiwan FDA / estimate</x:v>
      </x:c>
      <x:c r="K188" s="47"/>
      <x:c r="L188" s="47" t="str">
        <x:v>https://fdc.nal.usda.gov/ ; https://www.fda.gov.tw/tc/siteList.aspx?sid=284 ; https://consumer.fda.gov.tw/Food/TFND.aspx?nodeID=178</x:v>
      </x:c>
    </x:row>
    <x:row r="189">
      <x:c r="A189" s="47" t="str">
        <x:v>ME044</x:v>
      </x:c>
      <x:c r="B189" s="47" t="str">
        <x:v>肉類/蛋白質</x:v>
      </x:c>
      <x:c r="C189" s="47" t="str">
        <x:v>牛腩（熟）</x:v>
      </x:c>
      <x:c r="D189" s="47" t="str">
        <x:v>熟/可食部</x:v>
      </x:c>
      <x:c r="E189" s="48" t="n">
        <x:v>300</x:v>
      </x:c>
      <x:c r="F189" s="48" t="n">
        <x:v>23</x:v>
      </x:c>
      <x:c r="G189" s="48" t="n">
        <x:v>23</x:v>
      </x:c>
      <x:c r="H189" s="48" t="n">
        <x:v>0</x:v>
      </x:c>
      <x:c r="I189" s="49" t="n">
        <x:v>70</x:v>
      </x:c>
      <x:c r="J189" s="47" t="str">
        <x:v>USDA FDC / Taiwan FDA / estimate</x:v>
      </x:c>
      <x:c r="K189" s="47" t="str">
        <x:v>肥瘦差異大</x:v>
      </x:c>
      <x:c r="L189" s="47" t="str">
        <x:v>https://fdc.nal.usda.gov/ ; https://www.fda.gov.tw/tc/siteList.aspx?sid=284 ; https://consumer.fda.gov.tw/Food/TFND.aspx?nodeID=178</x:v>
      </x:c>
    </x:row>
    <x:row r="190">
      <x:c r="A190" s="47" t="str">
        <x:v>ME045</x:v>
      </x:c>
      <x:c r="B190" s="47" t="str">
        <x:v>肉類/蛋白質</x:v>
      </x:c>
      <x:c r="C190" s="47" t="str">
        <x:v>牛肋條（熟）</x:v>
      </x:c>
      <x:c r="D190" s="47" t="str">
        <x:v>熟/可食部</x:v>
      </x:c>
      <x:c r="E190" s="48" t="n">
        <x:v>330</x:v>
      </x:c>
      <x:c r="F190" s="48" t="n">
        <x:v>22</x:v>
      </x:c>
      <x:c r="G190" s="48" t="n">
        <x:v>27</x:v>
      </x:c>
      <x:c r="H190" s="48" t="n">
        <x:v>0</x:v>
      </x:c>
      <x:c r="I190" s="49" t="n">
        <x:v>70</x:v>
      </x:c>
      <x:c r="J190" s="47" t="str">
        <x:v>USDA FDC / Taiwan FDA / estimate</x:v>
      </x:c>
      <x:c r="K190" s="47" t="str">
        <x:v>肥瘦差異大</x:v>
      </x:c>
      <x:c r="L190" s="47" t="str">
        <x:v>https://fdc.nal.usda.gov/ ; https://www.fda.gov.tw/tc/siteList.aspx?sid=284 ; https://consumer.fda.gov.tw/Food/TFND.aspx?nodeID=178</x:v>
      </x:c>
    </x:row>
    <x:row r="191">
      <x:c r="A191" s="47" t="str">
        <x:v>ME046</x:v>
      </x:c>
      <x:c r="B191" s="47" t="str">
        <x:v>肉類/蛋白質</x:v>
      </x:c>
      <x:c r="C191" s="47" t="str">
        <x:v>牛絞肉90%瘦（熟）</x:v>
      </x:c>
      <x:c r="D191" s="47" t="str">
        <x:v>熟/可食部</x:v>
      </x:c>
      <x:c r="E191" s="48" t="n">
        <x:v>217</x:v>
      </x:c>
      <x:c r="F191" s="48" t="n">
        <x:v>26</x:v>
      </x:c>
      <x:c r="G191" s="48" t="n">
        <x:v>11</x:v>
      </x:c>
      <x:c r="H191" s="48" t="n">
        <x:v>0</x:v>
      </x:c>
      <x:c r="I191" s="49" t="n">
        <x:v>72</x:v>
      </x:c>
      <x:c r="J191" s="47" t="str">
        <x:v>USDA FDC / Taiwan FDA / estimate</x:v>
      </x:c>
      <x:c r="K191" s="47"/>
      <x:c r="L191" s="47" t="str">
        <x:v>https://fdc.nal.usda.gov/ ; https://www.fda.gov.tw/tc/siteList.aspx?sid=284 ; https://consumer.fda.gov.tw/Food/TFND.aspx?nodeID=178</x:v>
      </x:c>
    </x:row>
    <x:row r="192">
      <x:c r="A192" s="47" t="str">
        <x:v>ME047</x:v>
      </x:c>
      <x:c r="B192" s="47" t="str">
        <x:v>肉類/蛋白質</x:v>
      </x:c>
      <x:c r="C192" s="47" t="str">
        <x:v>牛絞肉80%瘦（熟）</x:v>
      </x:c>
      <x:c r="D192" s="47" t="str">
        <x:v>熟/可食部</x:v>
      </x:c>
      <x:c r="E192" s="48" t="n">
        <x:v>287</x:v>
      </x:c>
      <x:c r="F192" s="48" t="n">
        <x:v>25</x:v>
      </x:c>
      <x:c r="G192" s="48" t="n">
        <x:v>20</x:v>
      </x:c>
      <x:c r="H192" s="48" t="n">
        <x:v>0</x:v>
      </x:c>
      <x:c r="I192" s="49" t="n">
        <x:v>72</x:v>
      </x:c>
      <x:c r="J192" s="47" t="str">
        <x:v>USDA FDC / Taiwan FDA / estimate</x:v>
      </x:c>
      <x:c r="K192" s="47"/>
      <x:c r="L192" s="47" t="str">
        <x:v>https://fdc.nal.usda.gov/ ; https://www.fda.gov.tw/tc/siteList.aspx?sid=284 ; https://consumer.fda.gov.tw/Food/TFND.aspx?nodeID=178</x:v>
      </x:c>
    </x:row>
    <x:row r="193">
      <x:c r="A193" s="47" t="str">
        <x:v>ME048</x:v>
      </x:c>
      <x:c r="B193" s="47" t="str">
        <x:v>肉類/蛋白質</x:v>
      </x:c>
      <x:c r="C193" s="47" t="str">
        <x:v>牛肝（熟）</x:v>
      </x:c>
      <x:c r="D193" s="47" t="str">
        <x:v>熟/可食部</x:v>
      </x:c>
      <x:c r="E193" s="48" t="n">
        <x:v>191</x:v>
      </x:c>
      <x:c r="F193" s="48" t="n">
        <x:v>29</x:v>
      </x:c>
      <x:c r="G193" s="48" t="n">
        <x:v>5.3</x:v>
      </x:c>
      <x:c r="H193" s="48" t="n">
        <x:v>5.1</x:v>
      </x:c>
      <x:c r="I193" s="49" t="n">
        <x:v>69</x:v>
      </x:c>
      <x:c r="J193" s="47" t="str">
        <x:v>USDA FDC / Taiwan FDA / estimate</x:v>
      </x:c>
      <x:c r="K193" s="47"/>
      <x:c r="L193" s="47" t="str">
        <x:v>https://fdc.nal.usda.gov/ ; https://www.fda.gov.tw/tc/siteList.aspx?sid=284 ; https://consumer.fda.gov.tw/Food/TFND.aspx?nodeID=178</x:v>
      </x:c>
    </x:row>
    <x:row r="194">
      <x:c r="A194" s="47" t="str">
        <x:v>ME049</x:v>
      </x:c>
      <x:c r="B194" s="47" t="str">
        <x:v>肉類/蛋白質</x:v>
      </x:c>
      <x:c r="C194" s="47" t="str">
        <x:v>牛舌（熟）</x:v>
      </x:c>
      <x:c r="D194" s="47" t="str">
        <x:v>熟/可食部</x:v>
      </x:c>
      <x:c r="E194" s="48" t="n">
        <x:v>284</x:v>
      </x:c>
      <x:c r="F194" s="48" t="n">
        <x:v>19</x:v>
      </x:c>
      <x:c r="G194" s="48" t="n">
        <x:v>22</x:v>
      </x:c>
      <x:c r="H194" s="48" t="n">
        <x:v>0</x:v>
      </x:c>
      <x:c r="I194" s="49" t="n">
        <x:v>70</x:v>
      </x:c>
      <x:c r="J194" s="47" t="str">
        <x:v>USDA FDC / Taiwan FDA / estimate</x:v>
      </x:c>
      <x:c r="K194" s="47"/>
      <x:c r="L194" s="47" t="str">
        <x:v>https://fdc.nal.usda.gov/ ; https://www.fda.gov.tw/tc/siteList.aspx?sid=284 ; https://consumer.fda.gov.tw/Food/TFND.aspx?nodeID=178</x:v>
      </x:c>
    </x:row>
    <x:row r="195">
      <x:c r="A195" s="47" t="str">
        <x:v>ME050</x:v>
      </x:c>
      <x:c r="B195" s="47" t="str">
        <x:v>肉類/蛋白質</x:v>
      </x:c>
      <x:c r="C195" s="47" t="str">
        <x:v>牛筋（熟）</x:v>
      </x:c>
      <x:c r="D195" s="47" t="str">
        <x:v>熟/可食部</x:v>
      </x:c>
      <x:c r="E195" s="48" t="n">
        <x:v>151</x:v>
      </x:c>
      <x:c r="F195" s="48" t="n">
        <x:v>35</x:v>
      </x:c>
      <x:c r="G195" s="48" t="n">
        <x:v>0.5</x:v>
      </x:c>
      <x:c r="H195" s="48" t="n">
        <x:v>0</x:v>
      </x:c>
      <x:c r="I195" s="49" t="n">
        <x:v>80</x:v>
      </x:c>
      <x:c r="J195" s="47" t="str">
        <x:v>USDA FDC / Taiwan FDA / estimate</x:v>
      </x:c>
      <x:c r="K195" s="47" t="str">
        <x:v>膠原蛋白高，數值估算</x:v>
      </x:c>
      <x:c r="L195" s="47" t="str">
        <x:v>https://fdc.nal.usda.gov/ ; https://www.fda.gov.tw/tc/siteList.aspx?sid=284 ; https://consumer.fda.gov.tw/Food/TFND.aspx?nodeID=178</x:v>
      </x:c>
    </x:row>
    <x:row r="196">
      <x:c r="A196" s="47" t="str">
        <x:v>ME051</x:v>
      </x:c>
      <x:c r="B196" s="47" t="str">
        <x:v>肉類/蛋白質</x:v>
      </x:c>
      <x:c r="C196" s="47" t="str">
        <x:v>牛肚（熟）</x:v>
      </x:c>
      <x:c r="D196" s="47" t="str">
        <x:v>熟/可食部</x:v>
      </x:c>
      <x:c r="E196" s="48" t="n">
        <x:v>94</x:v>
      </x:c>
      <x:c r="F196" s="48" t="n">
        <x:v>14</x:v>
      </x:c>
      <x:c r="G196" s="48" t="n">
        <x:v>4</x:v>
      </x:c>
      <x:c r="H196" s="48" t="n">
        <x:v>0</x:v>
      </x:c>
      <x:c r="I196" s="49" t="n">
        <x:v>65</x:v>
      </x:c>
      <x:c r="J196" s="47" t="str">
        <x:v>USDA FDC / Taiwan FDA / estimate</x:v>
      </x:c>
      <x:c r="K196" s="47"/>
      <x:c r="L196" s="47" t="str">
        <x:v>https://fdc.nal.usda.gov/ ; https://www.fda.gov.tw/tc/siteList.aspx?sid=284 ; https://consumer.fda.gov.tw/Food/TFND.aspx?nodeID=178</x:v>
      </x:c>
    </x:row>
    <x:row r="197">
      <x:c r="A197" s="47" t="str">
        <x:v>ME052</x:v>
      </x:c>
      <x:c r="B197" s="47" t="str">
        <x:v>肉類/蛋白質</x:v>
      </x:c>
      <x:c r="C197" s="47" t="str">
        <x:v>羊排（熟）</x:v>
      </x:c>
      <x:c r="D197" s="47" t="str">
        <x:v>熟/可食部</x:v>
      </x:c>
      <x:c r="E197" s="48" t="n">
        <x:v>294</x:v>
      </x:c>
      <x:c r="F197" s="48" t="n">
        <x:v>25</x:v>
      </x:c>
      <x:c r="G197" s="48" t="n">
        <x:v>21</x:v>
      </x:c>
      <x:c r="H197" s="48" t="n">
        <x:v>0</x:v>
      </x:c>
      <x:c r="I197" s="49" t="n">
        <x:v>70</x:v>
      </x:c>
      <x:c r="J197" s="47" t="str">
        <x:v>USDA FDC / Taiwan FDA / estimate</x:v>
      </x:c>
      <x:c r="K197" s="47" t="str">
        <x:v>肥瘦差異大</x:v>
      </x:c>
      <x:c r="L197" s="47" t="str">
        <x:v>https://fdc.nal.usda.gov/ ; https://www.fda.gov.tw/tc/siteList.aspx?sid=284 ; https://consumer.fda.gov.tw/Food/TFND.aspx?nodeID=178</x:v>
      </x:c>
    </x:row>
    <x:row r="198">
      <x:c r="A198" s="47" t="str">
        <x:v>ME053</x:v>
      </x:c>
      <x:c r="B198" s="47" t="str">
        <x:v>肉類/蛋白質</x:v>
      </x:c>
      <x:c r="C198" s="47" t="str">
        <x:v>羊肩肉（熟）</x:v>
      </x:c>
      <x:c r="D198" s="47" t="str">
        <x:v>熟/可食部</x:v>
      </x:c>
      <x:c r="E198" s="48" t="n">
        <x:v>234</x:v>
      </x:c>
      <x:c r="F198" s="48" t="n">
        <x:v>25</x:v>
      </x:c>
      <x:c r="G198" s="48" t="n">
        <x:v>15</x:v>
      </x:c>
      <x:c r="H198" s="48" t="n">
        <x:v>0</x:v>
      </x:c>
      <x:c r="I198" s="49" t="n">
        <x:v>65</x:v>
      </x:c>
      <x:c r="J198" s="47" t="str">
        <x:v>USDA FDC / Taiwan FDA / estimate</x:v>
      </x:c>
      <x:c r="K198" s="47"/>
      <x:c r="L198" s="47" t="str">
        <x:v>https://fdc.nal.usda.gov/ ; https://www.fda.gov.tw/tc/siteList.aspx?sid=284 ; https://consumer.fda.gov.tw/Food/TFND.aspx?nodeID=178</x:v>
      </x:c>
    </x:row>
    <x:row r="199">
      <x:c r="A199" s="47" t="str">
        <x:v>ME054</x:v>
      </x:c>
      <x:c r="B199" s="47" t="str">
        <x:v>肉類/蛋白質</x:v>
      </x:c>
      <x:c r="C199" s="47" t="str">
        <x:v>羊絞肉（熟）</x:v>
      </x:c>
      <x:c r="D199" s="47" t="str">
        <x:v>熟/可食部</x:v>
      </x:c>
      <x:c r="E199" s="48" t="n">
        <x:v>282</x:v>
      </x:c>
      <x:c r="F199" s="48" t="n">
        <x:v>25</x:v>
      </x:c>
      <x:c r="G199" s="48" t="n">
        <x:v>20</x:v>
      </x:c>
      <x:c r="H199" s="48" t="n">
        <x:v>0</x:v>
      </x:c>
      <x:c r="I199" s="49" t="n">
        <x:v>75</x:v>
      </x:c>
      <x:c r="J199" s="47" t="str">
        <x:v>USDA FDC / Taiwan FDA / estimate</x:v>
      </x:c>
      <x:c r="K199" s="47"/>
      <x:c r="L199" s="47" t="str">
        <x:v>https://fdc.nal.usda.gov/ ; https://www.fda.gov.tw/tc/siteList.aspx?sid=284 ; https://consumer.fda.gov.tw/Food/TFND.aspx?nodeID=178</x:v>
      </x:c>
    </x:row>
    <x:row r="200">
      <x:c r="A200" s="47" t="str">
        <x:v>ME055</x:v>
      </x:c>
      <x:c r="B200" s="47" t="str">
        <x:v>肉類/蛋白質</x:v>
      </x:c>
      <x:c r="C200" s="47" t="str">
        <x:v>鴨腿（熟去皮）</x:v>
      </x:c>
      <x:c r="D200" s="47" t="str">
        <x:v>熟/可食部</x:v>
      </x:c>
      <x:c r="E200" s="48" t="n">
        <x:v>217</x:v>
      </x:c>
      <x:c r="F200" s="48" t="n">
        <x:v>27</x:v>
      </x:c>
      <x:c r="G200" s="48" t="n">
        <x:v>11</x:v>
      </x:c>
      <x:c r="H200" s="48" t="n">
        <x:v>0</x:v>
      </x:c>
      <x:c r="I200" s="49" t="n">
        <x:v>80</x:v>
      </x:c>
      <x:c r="J200" s="47" t="str">
        <x:v>USDA FDC / Taiwan FDA / estimate</x:v>
      </x:c>
      <x:c r="K200" s="47"/>
      <x:c r="L200" s="47" t="str">
        <x:v>https://fdc.nal.usda.gov/ ; https://www.fda.gov.tw/tc/siteList.aspx?sid=284 ; https://consumer.fda.gov.tw/Food/TFND.aspx?nodeID=178</x:v>
      </x:c>
    </x:row>
    <x:row r="201">
      <x:c r="A201" s="47" t="str">
        <x:v>ME056</x:v>
      </x:c>
      <x:c r="B201" s="47" t="str">
        <x:v>肉類/蛋白質</x:v>
      </x:c>
      <x:c r="C201" s="47" t="str">
        <x:v>鴨肉（熟帶皮）</x:v>
      </x:c>
      <x:c r="D201" s="47" t="str">
        <x:v>熟/可食部</x:v>
      </x:c>
      <x:c r="E201" s="48" t="n">
        <x:v>337</x:v>
      </x:c>
      <x:c r="F201" s="48" t="n">
        <x:v>19</x:v>
      </x:c>
      <x:c r="G201" s="48" t="n">
        <x:v>28</x:v>
      </x:c>
      <x:c r="H201" s="48" t="n">
        <x:v>0</x:v>
      </x:c>
      <x:c r="I201" s="49" t="n">
        <x:v>75</x:v>
      </x:c>
      <x:c r="J201" s="47" t="str">
        <x:v>USDA FDC / Taiwan FDA / estimate</x:v>
      </x:c>
      <x:c r="K201" s="47" t="str">
        <x:v>含皮高脂</x:v>
      </x:c>
      <x:c r="L201" s="47" t="str">
        <x:v>https://fdc.nal.usda.gov/ ; https://www.fda.gov.tw/tc/siteList.aspx?sid=284 ; https://consumer.fda.gov.tw/Food/TFND.aspx?nodeID=178</x:v>
      </x:c>
    </x:row>
    <x:row r="202">
      <x:c r="A202" s="47" t="str">
        <x:v>ME057</x:v>
      </x:c>
      <x:c r="B202" s="47" t="str">
        <x:v>肉類/蛋白質</x:v>
      </x:c>
      <x:c r="C202" s="47" t="str">
        <x:v>鴨肝（熟）</x:v>
      </x:c>
      <x:c r="D202" s="47" t="str">
        <x:v>熟/可食部</x:v>
      </x:c>
      <x:c r="E202" s="48" t="n">
        <x:v>136</x:v>
      </x:c>
      <x:c r="F202" s="48" t="n">
        <x:v>19</x:v>
      </x:c>
      <x:c r="G202" s="48" t="n">
        <x:v>5</x:v>
      </x:c>
      <x:c r="H202" s="48" t="n">
        <x:v>1.5</x:v>
      </x:c>
      <x:c r="I202" s="49" t="n">
        <x:v>70</x:v>
      </x:c>
      <x:c r="J202" s="47" t="str">
        <x:v>USDA FDC / Taiwan FDA / estimate</x:v>
      </x:c>
      <x:c r="K202" s="47"/>
      <x:c r="L202" s="47" t="str">
        <x:v>https://fdc.nal.usda.gov/ ; https://www.fda.gov.tw/tc/siteList.aspx?sid=284 ; https://consumer.fda.gov.tw/Food/TFND.aspx?nodeID=178</x:v>
      </x:c>
    </x:row>
    <x:row r="203">
      <x:c r="A203" s="47" t="str">
        <x:v>ME058</x:v>
      </x:c>
      <x:c r="B203" s="47" t="str">
        <x:v>肉類/蛋白質</x:v>
      </x:c>
      <x:c r="C203" s="47" t="str">
        <x:v>鵝肉（熟去皮）</x:v>
      </x:c>
      <x:c r="D203" s="47" t="str">
        <x:v>熟/可食部</x:v>
      </x:c>
      <x:c r="E203" s="48" t="n">
        <x:v>238</x:v>
      </x:c>
      <x:c r="F203" s="48" t="n">
        <x:v>29</x:v>
      </x:c>
      <x:c r="G203" s="48" t="n">
        <x:v>13</x:v>
      </x:c>
      <x:c r="H203" s="48" t="n">
        <x:v>0</x:v>
      </x:c>
      <x:c r="I203" s="49" t="n">
        <x:v>85</x:v>
      </x:c>
      <x:c r="J203" s="47" t="str">
        <x:v>USDA FDC / Taiwan FDA / estimate</x:v>
      </x:c>
      <x:c r="K203" s="47"/>
      <x:c r="L203" s="47" t="str">
        <x:v>https://fdc.nal.usda.gov/ ; https://www.fda.gov.tw/tc/siteList.aspx?sid=284 ; https://consumer.fda.gov.tw/Food/TFND.aspx?nodeID=178</x:v>
      </x:c>
    </x:row>
    <x:row r="204">
      <x:c r="A204" s="47" t="str">
        <x:v>ME059</x:v>
      </x:c>
      <x:c r="B204" s="47" t="str">
        <x:v>肉類/蛋白質</x:v>
      </x:c>
      <x:c r="C204" s="47" t="str">
        <x:v>鵝肉（熟帶皮）</x:v>
      </x:c>
      <x:c r="D204" s="47" t="str">
        <x:v>熟/可食部</x:v>
      </x:c>
      <x:c r="E204" s="48" t="n">
        <x:v>371</x:v>
      </x:c>
      <x:c r="F204" s="48" t="n">
        <x:v>24</x:v>
      </x:c>
      <x:c r="G204" s="48" t="n">
        <x:v>31</x:v>
      </x:c>
      <x:c r="H204" s="48" t="n">
        <x:v>0</x:v>
      </x:c>
      <x:c r="I204" s="49" t="n">
        <x:v>90</x:v>
      </x:c>
      <x:c r="J204" s="47" t="str">
        <x:v>USDA FDC / Taiwan FDA / estimate</x:v>
      </x:c>
      <x:c r="K204" s="47" t="str">
        <x:v>含皮高脂</x:v>
      </x:c>
      <x:c r="L204" s="47" t="str">
        <x:v>https://fdc.nal.usda.gov/ ; https://www.fda.gov.tw/tc/siteList.aspx?sid=284 ; https://consumer.fda.gov.tw/Food/TFND.aspx?nodeID=178</x:v>
      </x:c>
    </x:row>
    <x:row r="205">
      <x:c r="A205" s="47" t="str">
        <x:v>ME060</x:v>
      </x:c>
      <x:c r="B205" s="47" t="str">
        <x:v>肉類/蛋白質</x:v>
      </x:c>
      <x:c r="C205" s="47" t="str">
        <x:v>兔肉（熟）</x:v>
      </x:c>
      <x:c r="D205" s="47" t="str">
        <x:v>熟/可食部</x:v>
      </x:c>
      <x:c r="E205" s="48" t="n">
        <x:v>173</x:v>
      </x:c>
      <x:c r="F205" s="48" t="n">
        <x:v>33</x:v>
      </x:c>
      <x:c r="G205" s="48" t="n">
        <x:v>3.5</x:v>
      </x:c>
      <x:c r="H205" s="48" t="n">
        <x:v>0</x:v>
      </x:c>
      <x:c r="I205" s="49" t="n">
        <x:v>45</x:v>
      </x:c>
      <x:c r="J205" s="47" t="str">
        <x:v>USDA FDC / Taiwan FDA / estimate</x:v>
      </x:c>
      <x:c r="K205" s="47"/>
      <x:c r="L205" s="47" t="str">
        <x:v>https://fdc.nal.usda.gov/ ; https://www.fda.gov.tw/tc/siteList.aspx?sid=284 ; https://consumer.fda.gov.tw/Food/TFND.aspx?nodeID=178</x:v>
      </x:c>
    </x:row>
    <x:row r="206">
      <x:c r="A206" s="47" t="str">
        <x:v>ME061</x:v>
      </x:c>
      <x:c r="B206" s="47" t="str">
        <x:v>肉類/蛋白質</x:v>
      </x:c>
      <x:c r="C206" s="47" t="str">
        <x:v>鹿肉（熟）</x:v>
      </x:c>
      <x:c r="D206" s="47" t="str">
        <x:v>熟/可食部</x:v>
      </x:c>
      <x:c r="E206" s="48" t="n">
        <x:v>158</x:v>
      </x:c>
      <x:c r="F206" s="48" t="n">
        <x:v>30</x:v>
      </x:c>
      <x:c r="G206" s="48" t="n">
        <x:v>3.2</x:v>
      </x:c>
      <x:c r="H206" s="48" t="n">
        <x:v>0</x:v>
      </x:c>
      <x:c r="I206" s="49" t="n">
        <x:v>54</x:v>
      </x:c>
      <x:c r="J206" s="47" t="str">
        <x:v>USDA FDC / Taiwan FDA / estimate</x:v>
      </x:c>
      <x:c r="K206" s="47"/>
      <x:c r="L206" s="47" t="str">
        <x:v>https://fdc.nal.usda.gov/ ; https://www.fda.gov.tw/tc/siteList.aspx?sid=284 ; https://consumer.fda.gov.tw/Food/TFND.aspx?nodeID=178</x:v>
      </x:c>
    </x:row>
    <x:row r="207">
      <x:c r="A207" s="47" t="str">
        <x:v>ME062</x:v>
      </x:c>
      <x:c r="B207" s="47" t="str">
        <x:v>肉類/蛋白質</x:v>
      </x:c>
      <x:c r="C207" s="47" t="str">
        <x:v>雞蛋（全蛋，熟）</x:v>
      </x:c>
      <x:c r="D207" s="47" t="str">
        <x:v>熟/可食部</x:v>
      </x:c>
      <x:c r="E207" s="48" t="n">
        <x:v>155</x:v>
      </x:c>
      <x:c r="F207" s="48" t="n">
        <x:v>12.6</x:v>
      </x:c>
      <x:c r="G207" s="48" t="n">
        <x:v>10.6</x:v>
      </x:c>
      <x:c r="H207" s="48" t="n">
        <x:v>1.1</x:v>
      </x:c>
      <x:c r="I207" s="49" t="n">
        <x:v>124</x:v>
      </x:c>
      <x:c r="J207" s="47" t="str">
        <x:v>USDA FDC / Taiwan FDA / estimate</x:v>
      </x:c>
      <x:c r="K207" s="47" t="str">
        <x:v>每顆大約 50g</x:v>
      </x:c>
      <x:c r="L207" s="47" t="str">
        <x:v>https://fdc.nal.usda.gov/ ; https://www.fda.gov.tw/tc/siteList.aspx?sid=284 ; https://consumer.fda.gov.tw/Food/TFND.aspx?nodeID=178</x:v>
      </x:c>
    </x:row>
    <x:row r="208">
      <x:c r="A208" s="47" t="str">
        <x:v>ME063</x:v>
      </x:c>
      <x:c r="B208" s="47" t="str">
        <x:v>肉類/蛋白質</x:v>
      </x:c>
      <x:c r="C208" s="47" t="str">
        <x:v>水煮蛋</x:v>
      </x:c>
      <x:c r="D208" s="47" t="str">
        <x:v>熟/可食部</x:v>
      </x:c>
      <x:c r="E208" s="48" t="n">
        <x:v>155</x:v>
      </x:c>
      <x:c r="F208" s="48" t="n">
        <x:v>12.6</x:v>
      </x:c>
      <x:c r="G208" s="48" t="n">
        <x:v>10.6</x:v>
      </x:c>
      <x:c r="H208" s="48" t="n">
        <x:v>1.1</x:v>
      </x:c>
      <x:c r="I208" s="49" t="n">
        <x:v>124</x:v>
      </x:c>
      <x:c r="J208" s="47" t="str">
        <x:v>USDA FDC / Taiwan FDA / estimate</x:v>
      </x:c>
      <x:c r="K208" s="47" t="str">
        <x:v>等同熟全蛋，按可食重</x:v>
      </x:c>
      <x:c r="L208" s="47" t="str">
        <x:v>https://fdc.nal.usda.gov/ ; https://www.fda.gov.tw/tc/siteList.aspx?sid=284 ; https://consumer.fda.gov.tw/Food/TFND.aspx?nodeID=178</x:v>
      </x:c>
    </x:row>
    <x:row r="209">
      <x:c r="A209" s="47" t="str">
        <x:v>ME064</x:v>
      </x:c>
      <x:c r="B209" s="47" t="str">
        <x:v>肉類/蛋白質</x:v>
      </x:c>
      <x:c r="C209" s="47" t="str">
        <x:v>荷包蛋（不含額外油）</x:v>
      </x:c>
      <x:c r="D209" s="47" t="str">
        <x:v>熟/可食部</x:v>
      </x:c>
      <x:c r="E209" s="48" t="n">
        <x:v>196</x:v>
      </x:c>
      <x:c r="F209" s="48" t="n">
        <x:v>13.6</x:v>
      </x:c>
      <x:c r="G209" s="48" t="n">
        <x:v>14.8</x:v>
      </x:c>
      <x:c r="H209" s="48" t="n">
        <x:v>0.8</x:v>
      </x:c>
      <x:c r="I209" s="49" t="n">
        <x:v>207</x:v>
      </x:c>
      <x:c r="J209" s="47" t="str">
        <x:v>USDA FDC / Taiwan FDA / estimate</x:v>
      </x:c>
      <x:c r="K209" s="47" t="str">
        <x:v>若煎油需另外計油</x:v>
      </x:c>
      <x:c r="L209" s="47" t="str">
        <x:v>https://fdc.nal.usda.gov/ ; https://www.fda.gov.tw/tc/siteList.aspx?sid=284 ; https://consumer.fda.gov.tw/Food/TFND.aspx?nodeID=178</x:v>
      </x:c>
    </x:row>
    <x:row r="210">
      <x:c r="A210" s="47" t="str">
        <x:v>ME065</x:v>
      </x:c>
      <x:c r="B210" s="47" t="str">
        <x:v>肉類/蛋白質</x:v>
      </x:c>
      <x:c r="C210" s="47" t="str">
        <x:v>鴨蛋</x:v>
      </x:c>
      <x:c r="D210" s="47" t="str">
        <x:v>生/可食部</x:v>
      </x:c>
      <x:c r="E210" s="48" t="n">
        <x:v>185</x:v>
      </x:c>
      <x:c r="F210" s="48" t="n">
        <x:v>12.8</x:v>
      </x:c>
      <x:c r="G210" s="48" t="n">
        <x:v>13.8</x:v>
      </x:c>
      <x:c r="H210" s="48" t="n">
        <x:v>1.5</x:v>
      </x:c>
      <x:c r="I210" s="49" t="n">
        <x:v>146</x:v>
      </x:c>
      <x:c r="J210" s="47" t="str">
        <x:v>USDA FDC / Taiwan FDA / estimate</x:v>
      </x:c>
      <x:c r="K210" s="47"/>
      <x:c r="L210" s="47" t="str">
        <x:v>https://fdc.nal.usda.gov/ ; https://www.fda.gov.tw/tc/siteList.aspx?sid=284 ; https://consumer.fda.gov.tw/Food/TFND.aspx?nodeID=178</x:v>
      </x:c>
    </x:row>
    <x:row r="211">
      <x:c r="A211" s="47" t="str">
        <x:v>ME066</x:v>
      </x:c>
      <x:c r="B211" s="47" t="str">
        <x:v>肉類/蛋白質</x:v>
      </x:c>
      <x:c r="C211" s="47" t="str">
        <x:v>鵪鶉蛋</x:v>
      </x:c>
      <x:c r="D211" s="47" t="str">
        <x:v>生/可食部</x:v>
      </x:c>
      <x:c r="E211" s="48" t="n">
        <x:v>158</x:v>
      </x:c>
      <x:c r="F211" s="48" t="n">
        <x:v>13.1</x:v>
      </x:c>
      <x:c r="G211" s="48" t="n">
        <x:v>11.1</x:v>
      </x:c>
      <x:c r="H211" s="48" t="n">
        <x:v>0.4</x:v>
      </x:c>
      <x:c r="I211" s="49" t="n">
        <x:v>141</x:v>
      </x:c>
      <x:c r="J211" s="47" t="str">
        <x:v>USDA FDC / Taiwan FDA / estimate</x:v>
      </x:c>
      <x:c r="K211" s="47"/>
      <x:c r="L211" s="47" t="str">
        <x:v>https://fdc.nal.usda.gov/ ; https://www.fda.gov.tw/tc/siteList.aspx?sid=284 ; https://consumer.fda.gov.tw/Food/TFND.aspx?nodeID=178</x:v>
      </x:c>
    </x:row>
    <x:row r="212">
      <x:c r="A212" s="47" t="str">
        <x:v>ME067</x:v>
      </x:c>
      <x:c r="B212" s="47" t="str">
        <x:v>肉類/蛋白質</x:v>
      </x:c>
      <x:c r="C212" s="47" t="str">
        <x:v>鵝蛋</x:v>
      </x:c>
      <x:c r="D212" s="47" t="str">
        <x:v>生/可食部</x:v>
      </x:c>
      <x:c r="E212" s="48" t="n">
        <x:v>185</x:v>
      </x:c>
      <x:c r="F212" s="48" t="n">
        <x:v>13.9</x:v>
      </x:c>
      <x:c r="G212" s="48" t="n">
        <x:v>13.3</x:v>
      </x:c>
      <x:c r="H212" s="48" t="n">
        <x:v>1.4</x:v>
      </x:c>
      <x:c r="I212" s="49" t="n">
        <x:v>138</x:v>
      </x:c>
      <x:c r="J212" s="47" t="str">
        <x:v>USDA FDC / Taiwan FDA / estimate</x:v>
      </x:c>
      <x:c r="K212" s="47"/>
      <x:c r="L212" s="47" t="str">
        <x:v>https://fdc.nal.usda.gov/ ; https://www.fda.gov.tw/tc/siteList.aspx?sid=284 ; https://consumer.fda.gov.tw/Food/TFND.aspx?nodeID=178</x:v>
      </x:c>
    </x:row>
    <x:row r="213">
      <x:c r="A213" s="47" t="str">
        <x:v>ME068</x:v>
      </x:c>
      <x:c r="B213" s="47" t="str">
        <x:v>肉類/蛋白質</x:v>
      </x:c>
      <x:c r="C213" s="47" t="str">
        <x:v>皮蛋</x:v>
      </x:c>
      <x:c r="D213" s="47" t="str">
        <x:v>可食部</x:v>
      </x:c>
      <x:c r="E213" s="48" t="n">
        <x:v>171</x:v>
      </x:c>
      <x:c r="F213" s="48" t="n">
        <x:v>13.6</x:v>
      </x:c>
      <x:c r="G213" s="48" t="n">
        <x:v>10.7</x:v>
      </x:c>
      <x:c r="H213" s="48" t="n">
        <x:v>4.5</x:v>
      </x:c>
      <x:c r="I213" s="49" t="n">
        <x:v>542</x:v>
      </x:c>
      <x:c r="J213" s="47" t="str">
        <x:v>USDA FDC / Taiwan FDA / estimate</x:v>
      </x:c>
      <x:c r="K213" s="47" t="str">
        <x:v>加工蛋，鈉高</x:v>
      </x:c>
      <x:c r="L213" s="47" t="str">
        <x:v>https://fdc.nal.usda.gov/ ; https://www.fda.gov.tw/tc/siteList.aspx?sid=284 ; https://consumer.fda.gov.tw/Food/TFND.aspx?nodeID=178</x:v>
      </x:c>
    </x:row>
    <x:row r="214">
      <x:c r="A214" s="47" t="str">
        <x:v>ME069</x:v>
      </x:c>
      <x:c r="B214" s="47" t="str">
        <x:v>肉類/蛋白質</x:v>
      </x:c>
      <x:c r="C214" s="47" t="str">
        <x:v>鹹蛋</x:v>
      </x:c>
      <x:c r="D214" s="47" t="str">
        <x:v>可食部</x:v>
      </x:c>
      <x:c r="E214" s="48" t="n">
        <x:v>190</x:v>
      </x:c>
      <x:c r="F214" s="48" t="n">
        <x:v>13</x:v>
      </x:c>
      <x:c r="G214" s="48" t="n">
        <x:v>13.6</x:v>
      </x:c>
      <x:c r="H214" s="48" t="n">
        <x:v>3.3</x:v>
      </x:c>
      <x:c r="I214" s="49" t="n">
        <x:v>1500</x:v>
      </x:c>
      <x:c r="J214" s="47" t="str">
        <x:v>USDA FDC / Taiwan FDA / estimate</x:v>
      </x:c>
      <x:c r="K214" s="47" t="str">
        <x:v>加工蛋，鈉很高</x:v>
      </x:c>
      <x:c r="L214" s="47" t="str">
        <x:v>https://fdc.nal.usda.gov/ ; https://www.fda.gov.tw/tc/siteList.aspx?sid=284 ; https://consumer.fda.gov.tw/Food/TFND.aspx?nodeID=178</x:v>
      </x:c>
    </x:row>
    <x:row r="215">
      <x:c r="A215" s="47" t="str">
        <x:v>ME070</x:v>
      </x:c>
      <x:c r="B215" s="47" t="str">
        <x:v>肉類/蛋白質</x:v>
      </x:c>
      <x:c r="C215" s="47" t="str">
        <x:v>溫泉蛋</x:v>
      </x:c>
      <x:c r="D215" s="47" t="str">
        <x:v>熟/可食部</x:v>
      </x:c>
      <x:c r="E215" s="48" t="n">
        <x:v>150</x:v>
      </x:c>
      <x:c r="F215" s="48" t="n">
        <x:v>12.5</x:v>
      </x:c>
      <x:c r="G215" s="48" t="n">
        <x:v>10</x:v>
      </x:c>
      <x:c r="H215" s="48" t="n">
        <x:v>1</x:v>
      </x:c>
      <x:c r="I215" s="49" t="n">
        <x:v>130</x:v>
      </x:c>
      <x:c r="J215" s="47" t="str">
        <x:v>USDA FDC / Taiwan FDA / estimate</x:v>
      </x:c>
      <x:c r="K215" s="47"/>
      <x:c r="L215" s="47" t="str">
        <x:v>https://fdc.nal.usda.gov/ ; https://www.fda.gov.tw/tc/siteList.aspx?sid=284 ; https://consumer.fda.gov.tw/Food/TFND.aspx?nodeID=178</x:v>
      </x:c>
    </x:row>
    <x:row r="216">
      <x:c r="A216" s="47" t="str">
        <x:v>ME071</x:v>
      </x:c>
      <x:c r="B216" s="47" t="str">
        <x:v>肉類/蛋白質</x:v>
      </x:c>
      <x:c r="C216" s="47" t="str">
        <x:v>蛋液（全蛋）</x:v>
      </x:c>
      <x:c r="D216" s="47" t="str">
        <x:v>液體/100g</x:v>
      </x:c>
      <x:c r="E216" s="48" t="n">
        <x:v>143</x:v>
      </x:c>
      <x:c r="F216" s="48" t="n">
        <x:v>12.6</x:v>
      </x:c>
      <x:c r="G216" s="48" t="n">
        <x:v>9.5</x:v>
      </x:c>
      <x:c r="H216" s="48" t="n">
        <x:v>0.7</x:v>
      </x:c>
      <x:c r="I216" s="49" t="n">
        <x:v>142</x:v>
      </x:c>
      <x:c r="J216" s="47" t="str">
        <x:v>USDA FDC / Taiwan FDA / estimate</x:v>
      </x:c>
      <x:c r="K216" s="47"/>
      <x:c r="L216" s="47" t="str">
        <x:v>https://fdc.nal.usda.gov/ ; https://www.fda.gov.tw/tc/siteList.aspx?sid=284 ; https://consumer.fda.gov.tw/Food/TFND.aspx?nodeID=178</x:v>
      </x:c>
    </x:row>
    <x:row r="217">
      <x:c r="A217" s="47" t="str">
        <x:v>ME072</x:v>
      </x:c>
      <x:c r="B217" s="47" t="str">
        <x:v>肉類/蛋白質</x:v>
      </x:c>
      <x:c r="C217" s="47" t="str">
        <x:v>蛋白液</x:v>
      </x:c>
      <x:c r="D217" s="47" t="str">
        <x:v>液體/100g</x:v>
      </x:c>
      <x:c r="E217" s="48" t="n">
        <x:v>52</x:v>
      </x:c>
      <x:c r="F217" s="48" t="n">
        <x:v>10.9</x:v>
      </x:c>
      <x:c r="G217" s="48" t="n">
        <x:v>0.2</x:v>
      </x:c>
      <x:c r="H217" s="48" t="n">
        <x:v>0.7</x:v>
      </x:c>
      <x:c r="I217" s="49" t="n">
        <x:v>166</x:v>
      </x:c>
      <x:c r="J217" s="47" t="str">
        <x:v>USDA FDC / Taiwan FDA / estimate</x:v>
      </x:c>
      <x:c r="K217" s="47"/>
      <x:c r="L217" s="47" t="str">
        <x:v>https://fdc.nal.usda.gov/ ; https://www.fda.gov.tw/tc/siteList.aspx?sid=284 ; https://consumer.fda.gov.tw/Food/TFND.aspx?nodeID=178</x:v>
      </x:c>
    </x:row>
    <x:row r="218">
      <x:c r="A218" s="47" t="str">
        <x:v>ME073</x:v>
      </x:c>
      <x:c r="B218" s="47" t="str">
        <x:v>肉類/蛋白質</x:v>
      </x:c>
      <x:c r="C218" s="47" t="str">
        <x:v>蛋黃液</x:v>
      </x:c>
      <x:c r="D218" s="47" t="str">
        <x:v>液體/100g</x:v>
      </x:c>
      <x:c r="E218" s="48" t="n">
        <x:v>322</x:v>
      </x:c>
      <x:c r="F218" s="48" t="n">
        <x:v>15.9</x:v>
      </x:c>
      <x:c r="G218" s="48" t="n">
        <x:v>26.5</x:v>
      </x:c>
      <x:c r="H218" s="48" t="n">
        <x:v>3.6</x:v>
      </x:c>
      <x:c r="I218" s="49" t="n">
        <x:v>48</x:v>
      </x:c>
      <x:c r="J218" s="47" t="str">
        <x:v>USDA FDC / Taiwan FDA / estimate</x:v>
      </x:c>
      <x:c r="K218" s="47"/>
      <x:c r="L218" s="47" t="str">
        <x:v>https://fdc.nal.usda.gov/ ; https://www.fda.gov.tw/tc/siteList.aspx?sid=284 ; https://consumer.fda.gov.tw/Food/TFND.aspx?nodeID=178</x:v>
      </x:c>
    </x:row>
    <x:row r="219">
      <x:c r="A219" s="47" t="str">
        <x:v>SF011</x:v>
      </x:c>
      <x:c r="B219" s="47" t="str">
        <x:v>海鮮/魚類</x:v>
      </x:c>
      <x:c r="C219" s="47" t="str">
        <x:v>鮭魚（生）</x:v>
      </x:c>
      <x:c r="D219" s="47" t="str">
        <x:v>生/可食部</x:v>
      </x:c>
      <x:c r="E219" s="48" t="n">
        <x:v>208</x:v>
      </x:c>
      <x:c r="F219" s="48" t="n">
        <x:v>20.4</x:v>
      </x:c>
      <x:c r="G219" s="48" t="n">
        <x:v>13.4</x:v>
      </x:c>
      <x:c r="H219" s="48" t="n">
        <x:v>0</x:v>
      </x:c>
      <x:c r="I219" s="49" t="n">
        <x:v>59</x:v>
      </x:c>
      <x:c r="J219" s="47" t="str">
        <x:v>USDA FDC / Taiwan FDA / estimate</x:v>
      </x:c>
      <x:c r="K219" s="47"/>
      <x:c r="L219" s="47" t="str">
        <x:v>https://fdc.nal.usda.gov/ ; https://www.fda.gov.tw/tc/siteList.aspx?sid=284 ; https://consumer.fda.gov.tw/Food/TFND.aspx?nodeID=178</x:v>
      </x:c>
    </x:row>
    <x:row r="220">
      <x:c r="A220" s="47" t="str">
        <x:v>SF012</x:v>
      </x:c>
      <x:c r="B220" s="47" t="str">
        <x:v>海鮮/魚類</x:v>
      </x:c>
      <x:c r="C220" s="47" t="str">
        <x:v>鮪魚（生）</x:v>
      </x:c>
      <x:c r="D220" s="47" t="str">
        <x:v>生/可食部</x:v>
      </x:c>
      <x:c r="E220" s="48" t="n">
        <x:v>144</x:v>
      </x:c>
      <x:c r="F220" s="48" t="n">
        <x:v>23.3</x:v>
      </x:c>
      <x:c r="G220" s="48" t="n">
        <x:v>4.9</x:v>
      </x:c>
      <x:c r="H220" s="48" t="n">
        <x:v>0</x:v>
      </x:c>
      <x:c r="I220" s="49" t="n">
        <x:v>39</x:v>
      </x:c>
      <x:c r="J220" s="47" t="str">
        <x:v>USDA FDC / Taiwan FDA / estimate</x:v>
      </x:c>
      <x:c r="K220" s="47"/>
      <x:c r="L220" s="47" t="str">
        <x:v>https://fdc.nal.usda.gov/ ; https://www.fda.gov.tw/tc/siteList.aspx?sid=284 ; https://consumer.fda.gov.tw/Food/TFND.aspx?nodeID=178</x:v>
      </x:c>
    </x:row>
    <x:row r="221">
      <x:c r="A221" s="47" t="str">
        <x:v>SF013</x:v>
      </x:c>
      <x:c r="B221" s="47" t="str">
        <x:v>海鮮/魚類</x:v>
      </x:c>
      <x:c r="C221" s="47" t="str">
        <x:v>鯖魚（生）</x:v>
      </x:c>
      <x:c r="D221" s="47" t="str">
        <x:v>生/可食部</x:v>
      </x:c>
      <x:c r="E221" s="48" t="n">
        <x:v>205</x:v>
      </x:c>
      <x:c r="F221" s="48" t="n">
        <x:v>18.6</x:v>
      </x:c>
      <x:c r="G221" s="48" t="n">
        <x:v>13.9</x:v>
      </x:c>
      <x:c r="H221" s="48" t="n">
        <x:v>0</x:v>
      </x:c>
      <x:c r="I221" s="49" t="n">
        <x:v>90</x:v>
      </x:c>
      <x:c r="J221" s="47" t="str">
        <x:v>USDA FDC / Taiwan FDA / estimate</x:v>
      </x:c>
      <x:c r="K221" s="47"/>
      <x:c r="L221" s="47" t="str">
        <x:v>https://fdc.nal.usda.gov/ ; https://www.fda.gov.tw/tc/siteList.aspx?sid=284 ; https://consumer.fda.gov.tw/Food/TFND.aspx?nodeID=178</x:v>
      </x:c>
    </x:row>
    <x:row r="222">
      <x:c r="A222" s="47" t="str">
        <x:v>SF014</x:v>
      </x:c>
      <x:c r="B222" s="47" t="str">
        <x:v>海鮮/魚類</x:v>
      </x:c>
      <x:c r="C222" s="47" t="str">
        <x:v>鰻魚（熟）</x:v>
      </x:c>
      <x:c r="D222" s="47" t="str">
        <x:v>熟/可食部</x:v>
      </x:c>
      <x:c r="E222" s="48" t="n">
        <x:v>236</x:v>
      </x:c>
      <x:c r="F222" s="48" t="n">
        <x:v>23.7</x:v>
      </x:c>
      <x:c r="G222" s="48" t="n">
        <x:v>14.9</x:v>
      </x:c>
      <x:c r="H222" s="48" t="n">
        <x:v>0</x:v>
      </x:c>
      <x:c r="I222" s="49" t="n">
        <x:v>50</x:v>
      </x:c>
      <x:c r="J222" s="47" t="str">
        <x:v>USDA FDC / Taiwan FDA / estimate</x:v>
      </x:c>
      <x:c r="K222" s="47" t="str">
        <x:v>不含蒲燒醬</x:v>
      </x:c>
      <x:c r="L222" s="47" t="str">
        <x:v>https://fdc.nal.usda.gov/ ; https://www.fda.gov.tw/tc/siteList.aspx?sid=284 ; https://consumer.fda.gov.tw/Food/TFND.aspx?nodeID=178</x:v>
      </x:c>
    </x:row>
    <x:row r="223">
      <x:c r="A223" s="47" t="str">
        <x:v>SF015</x:v>
      </x:c>
      <x:c r="B223" s="47" t="str">
        <x:v>海鮮/魚類</x:v>
      </x:c>
      <x:c r="C223" s="47" t="str">
        <x:v>鱸魚（熟）</x:v>
      </x:c>
      <x:c r="D223" s="47" t="str">
        <x:v>熟/可食部</x:v>
      </x:c>
      <x:c r="E223" s="48" t="n">
        <x:v>124</x:v>
      </x:c>
      <x:c r="F223" s="48" t="n">
        <x:v>24</x:v>
      </x:c>
      <x:c r="G223" s="48" t="n">
        <x:v>2.6</x:v>
      </x:c>
      <x:c r="H223" s="48" t="n">
        <x:v>0</x:v>
      </x:c>
      <x:c r="I223" s="49" t="n">
        <x:v>70</x:v>
      </x:c>
      <x:c r="J223" s="47" t="str">
        <x:v>USDA FDC / Taiwan FDA / estimate</x:v>
      </x:c>
      <x:c r="K223" s="47"/>
      <x:c r="L223" s="47" t="str">
        <x:v>https://fdc.nal.usda.gov/ ; https://www.fda.gov.tw/tc/siteList.aspx?sid=284 ; https://consumer.fda.gov.tw/Food/TFND.aspx?nodeID=178</x:v>
      </x:c>
    </x:row>
    <x:row r="224">
      <x:c r="A224" s="47" t="str">
        <x:v>SF016</x:v>
      </x:c>
      <x:c r="B224" s="47" t="str">
        <x:v>海鮮/魚類</x:v>
      </x:c>
      <x:c r="C224" s="47" t="str">
        <x:v>石斑魚（熟）</x:v>
      </x:c>
      <x:c r="D224" s="47" t="str">
        <x:v>熟/可食部</x:v>
      </x:c>
      <x:c r="E224" s="48" t="n">
        <x:v>118</x:v>
      </x:c>
      <x:c r="F224" s="48" t="n">
        <x:v>25</x:v>
      </x:c>
      <x:c r="G224" s="48" t="n">
        <x:v>1.5</x:v>
      </x:c>
      <x:c r="H224" s="48" t="n">
        <x:v>0</x:v>
      </x:c>
      <x:c r="I224" s="49" t="n">
        <x:v>60</x:v>
      </x:c>
      <x:c r="J224" s="47" t="str">
        <x:v>USDA FDC / Taiwan FDA / estimate</x:v>
      </x:c>
      <x:c r="K224" s="47"/>
      <x:c r="L224" s="47" t="str">
        <x:v>https://fdc.nal.usda.gov/ ; https://www.fda.gov.tw/tc/siteList.aspx?sid=284 ; https://consumer.fda.gov.tw/Food/TFND.aspx?nodeID=178</x:v>
      </x:c>
    </x:row>
    <x:row r="225">
      <x:c r="A225" s="47" t="str">
        <x:v>SF017</x:v>
      </x:c>
      <x:c r="B225" s="47" t="str">
        <x:v>海鮮/魚類</x:v>
      </x:c>
      <x:c r="C225" s="47" t="str">
        <x:v>午仔魚（熟）</x:v>
      </x:c>
      <x:c r="D225" s="47" t="str">
        <x:v>熟/可食部</x:v>
      </x:c>
      <x:c r="E225" s="48" t="n">
        <x:v>160</x:v>
      </x:c>
      <x:c r="F225" s="48" t="n">
        <x:v>22</x:v>
      </x:c>
      <x:c r="G225" s="48" t="n">
        <x:v>7</x:v>
      </x:c>
      <x:c r="H225" s="48" t="n">
        <x:v>0</x:v>
      </x:c>
      <x:c r="I225" s="49" t="n">
        <x:v>75</x:v>
      </x:c>
      <x:c r="J225" s="47" t="str">
        <x:v>USDA FDC / Taiwan FDA / estimate</x:v>
      </x:c>
      <x:c r="K225" s="47" t="str">
        <x:v>台灣常見魚，估算</x:v>
      </x:c>
      <x:c r="L225" s="47" t="str">
        <x:v>https://fdc.nal.usda.gov/ ; https://www.fda.gov.tw/tc/siteList.aspx?sid=284 ; https://consumer.fda.gov.tw/Food/TFND.aspx?nodeID=178</x:v>
      </x:c>
    </x:row>
    <x:row r="226">
      <x:c r="A226" s="47" t="str">
        <x:v>SF018</x:v>
      </x:c>
      <x:c r="B226" s="47" t="str">
        <x:v>海鮮/魚類</x:v>
      </x:c>
      <x:c r="C226" s="47" t="str">
        <x:v>鯧魚（熟）</x:v>
      </x:c>
      <x:c r="D226" s="47" t="str">
        <x:v>熟/可食部</x:v>
      </x:c>
      <x:c r="E226" s="48" t="n">
        <x:v>164</x:v>
      </x:c>
      <x:c r="F226" s="48" t="n">
        <x:v>20</x:v>
      </x:c>
      <x:c r="G226" s="48" t="n">
        <x:v>9</x:v>
      </x:c>
      <x:c r="H226" s="48" t="n">
        <x:v>0</x:v>
      </x:c>
      <x:c r="I226" s="49" t="n">
        <x:v>65</x:v>
      </x:c>
      <x:c r="J226" s="47" t="str">
        <x:v>USDA FDC / Taiwan FDA / estimate</x:v>
      </x:c>
      <x:c r="K226" s="47"/>
      <x:c r="L226" s="47" t="str">
        <x:v>https://fdc.nal.usda.gov/ ; https://www.fda.gov.tw/tc/siteList.aspx?sid=284 ; https://consumer.fda.gov.tw/Food/TFND.aspx?nodeID=178</x:v>
      </x:c>
    </x:row>
    <x:row r="227">
      <x:c r="A227" s="47" t="str">
        <x:v>SF019</x:v>
      </x:c>
      <x:c r="B227" s="47" t="str">
        <x:v>海鮮/魚類</x:v>
      </x:c>
      <x:c r="C227" s="47" t="str">
        <x:v>黃魚（熟）</x:v>
      </x:c>
      <x:c r="D227" s="47" t="str">
        <x:v>熟/可食部</x:v>
      </x:c>
      <x:c r="E227" s="48" t="n">
        <x:v>140</x:v>
      </x:c>
      <x:c r="F227" s="48" t="n">
        <x:v>23</x:v>
      </x:c>
      <x:c r="G227" s="48" t="n">
        <x:v>5</x:v>
      </x:c>
      <x:c r="H227" s="48" t="n">
        <x:v>0</x:v>
      </x:c>
      <x:c r="I227" s="49" t="n">
        <x:v>70</x:v>
      </x:c>
      <x:c r="J227" s="47" t="str">
        <x:v>USDA FDC / Taiwan FDA / estimate</x:v>
      </x:c>
      <x:c r="K227" s="47"/>
      <x:c r="L227" s="47" t="str">
        <x:v>https://fdc.nal.usda.gov/ ; https://www.fda.gov.tw/tc/siteList.aspx?sid=284 ; https://consumer.fda.gov.tw/Food/TFND.aspx?nodeID=178</x:v>
      </x:c>
    </x:row>
    <x:row r="228">
      <x:c r="A228" s="47" t="str">
        <x:v>SF020</x:v>
      </x:c>
      <x:c r="B228" s="47" t="str">
        <x:v>海鮮/魚類</x:v>
      </x:c>
      <x:c r="C228" s="47" t="str">
        <x:v>秋刀魚（熟）</x:v>
      </x:c>
      <x:c r="D228" s="47" t="str">
        <x:v>熟/可食部</x:v>
      </x:c>
      <x:c r="E228" s="48" t="n">
        <x:v>245</x:v>
      </x:c>
      <x:c r="F228" s="48" t="n">
        <x:v>24</x:v>
      </x:c>
      <x:c r="G228" s="48" t="n">
        <x:v>16</x:v>
      </x:c>
      <x:c r="H228" s="48" t="n">
        <x:v>0</x:v>
      </x:c>
      <x:c r="I228" s="49" t="n">
        <x:v>80</x:v>
      </x:c>
      <x:c r="J228" s="47" t="str">
        <x:v>USDA FDC / Taiwan FDA / estimate</x:v>
      </x:c>
      <x:c r="K228" s="47"/>
      <x:c r="L228" s="47" t="str">
        <x:v>https://fdc.nal.usda.gov/ ; https://www.fda.gov.tw/tc/siteList.aspx?sid=284 ; https://consumer.fda.gov.tw/Food/TFND.aspx?nodeID=178</x:v>
      </x:c>
    </x:row>
    <x:row r="229">
      <x:c r="A229" s="47" t="str">
        <x:v>SF021</x:v>
      </x:c>
      <x:c r="B229" s="47" t="str">
        <x:v>海鮮/魚類</x:v>
      </x:c>
      <x:c r="C229" s="47" t="str">
        <x:v>沙丁魚（熟）</x:v>
      </x:c>
      <x:c r="D229" s="47" t="str">
        <x:v>熟/可食部</x:v>
      </x:c>
      <x:c r="E229" s="48" t="n">
        <x:v>208</x:v>
      </x:c>
      <x:c r="F229" s="48" t="n">
        <x:v>24.6</x:v>
      </x:c>
      <x:c r="G229" s="48" t="n">
        <x:v>11.5</x:v>
      </x:c>
      <x:c r="H229" s="48" t="n">
        <x:v>0</x:v>
      </x:c>
      <x:c r="I229" s="49" t="n">
        <x:v>505</x:v>
      </x:c>
      <x:c r="J229" s="47" t="str">
        <x:v>USDA FDC / Taiwan FDA / estimate</x:v>
      </x:c>
      <x:c r="K229" s="47" t="str">
        <x:v>若罐頭鈉會更高</x:v>
      </x:c>
      <x:c r="L229" s="47" t="str">
        <x:v>https://fdc.nal.usda.gov/ ; https://www.fda.gov.tw/tc/siteList.aspx?sid=284 ; https://consumer.fda.gov.tw/Food/TFND.aspx?nodeID=178</x:v>
      </x:c>
    </x:row>
    <x:row r="230">
      <x:c r="A230" s="47" t="str">
        <x:v>SF022</x:v>
      </x:c>
      <x:c r="B230" s="47" t="str">
        <x:v>海鮮/魚類</x:v>
      </x:c>
      <x:c r="C230" s="47" t="str">
        <x:v>鯡魚（熟）</x:v>
      </x:c>
      <x:c r="D230" s="47" t="str">
        <x:v>熟/可食部</x:v>
      </x:c>
      <x:c r="E230" s="48" t="n">
        <x:v>203</x:v>
      </x:c>
      <x:c r="F230" s="48" t="n">
        <x:v>23</x:v>
      </x:c>
      <x:c r="G230" s="48" t="n">
        <x:v>11.6</x:v>
      </x:c>
      <x:c r="H230" s="48" t="n">
        <x:v>0</x:v>
      </x:c>
      <x:c r="I230" s="49" t="n">
        <x:v>115</x:v>
      </x:c>
      <x:c r="J230" s="47" t="str">
        <x:v>USDA FDC / Taiwan FDA / estimate</x:v>
      </x:c>
      <x:c r="K230" s="47"/>
      <x:c r="L230" s="47" t="str">
        <x:v>https://fdc.nal.usda.gov/ ; https://www.fda.gov.tw/tc/siteList.aspx?sid=284 ; https://consumer.fda.gov.tw/Food/TFND.aspx?nodeID=178</x:v>
      </x:c>
    </x:row>
    <x:row r="231">
      <x:c r="A231" s="47" t="str">
        <x:v>SF023</x:v>
      </x:c>
      <x:c r="B231" s="47" t="str">
        <x:v>海鮮/魚類</x:v>
      </x:c>
      <x:c r="C231" s="47" t="str">
        <x:v>比目魚（熟）</x:v>
      </x:c>
      <x:c r="D231" s="47" t="str">
        <x:v>熟/可食部</x:v>
      </x:c>
      <x:c r="E231" s="48" t="n">
        <x:v>111</x:v>
      </x:c>
      <x:c r="F231" s="48" t="n">
        <x:v>22.5</x:v>
      </x:c>
      <x:c r="G231" s="48" t="n">
        <x:v>2.3</x:v>
      </x:c>
      <x:c r="H231" s="48" t="n">
        <x:v>0</x:v>
      </x:c>
      <x:c r="I231" s="49" t="n">
        <x:v>60</x:v>
      </x:c>
      <x:c r="J231" s="47" t="str">
        <x:v>USDA FDC / Taiwan FDA / estimate</x:v>
      </x:c>
      <x:c r="K231" s="47"/>
      <x:c r="L231" s="47" t="str">
        <x:v>https://fdc.nal.usda.gov/ ; https://www.fda.gov.tw/tc/siteList.aspx?sid=284 ; https://consumer.fda.gov.tw/Food/TFND.aspx?nodeID=178</x:v>
      </x:c>
    </x:row>
    <x:row r="232">
      <x:c r="A232" s="47" t="str">
        <x:v>SF024</x:v>
      </x:c>
      <x:c r="B232" s="47" t="str">
        <x:v>海鮮/魚類</x:v>
      </x:c>
      <x:c r="C232" s="47" t="str">
        <x:v>鯛魚片（生）</x:v>
      </x:c>
      <x:c r="D232" s="47" t="str">
        <x:v>生/可食部</x:v>
      </x:c>
      <x:c r="E232" s="48" t="n">
        <x:v>96</x:v>
      </x:c>
      <x:c r="F232" s="48" t="n">
        <x:v>20</x:v>
      </x:c>
      <x:c r="G232" s="48" t="n">
        <x:v>1.7</x:v>
      </x:c>
      <x:c r="H232" s="48" t="n">
        <x:v>0</x:v>
      </x:c>
      <x:c r="I232" s="49" t="n">
        <x:v>50</x:v>
      </x:c>
      <x:c r="J232" s="47" t="str">
        <x:v>USDA FDC / Taiwan FDA / estimate</x:v>
      </x:c>
      <x:c r="K232" s="47"/>
      <x:c r="L232" s="47" t="str">
        <x:v>https://fdc.nal.usda.gov/ ; https://www.fda.gov.tw/tc/siteList.aspx?sid=284 ; https://consumer.fda.gov.tw/Food/TFND.aspx?nodeID=178</x:v>
      </x:c>
    </x:row>
    <x:row r="233">
      <x:c r="A233" s="47" t="str">
        <x:v>SF025</x:v>
      </x:c>
      <x:c r="B233" s="47" t="str">
        <x:v>海鮮/魚類</x:v>
      </x:c>
      <x:c r="C233" s="47" t="str">
        <x:v>鯛魚片（熟）</x:v>
      </x:c>
      <x:c r="D233" s="47" t="str">
        <x:v>熟/可食部</x:v>
      </x:c>
      <x:c r="E233" s="48" t="n">
        <x:v>128</x:v>
      </x:c>
      <x:c r="F233" s="48" t="n">
        <x:v>26.2</x:v>
      </x:c>
      <x:c r="G233" s="48" t="n">
        <x:v>2.6</x:v>
      </x:c>
      <x:c r="H233" s="48" t="n">
        <x:v>0</x:v>
      </x:c>
      <x:c r="I233" s="49" t="n">
        <x:v>56</x:v>
      </x:c>
      <x:c r="J233" s="47" t="str">
        <x:v>USDA FDC / Taiwan FDA / estimate</x:v>
      </x:c>
      <x:c r="K233" s="47"/>
      <x:c r="L233" s="47" t="str">
        <x:v>https://fdc.nal.usda.gov/ ; https://www.fda.gov.tw/tc/siteList.aspx?sid=284 ; https://consumer.fda.gov.tw/Food/TFND.aspx?nodeID=178</x:v>
      </x:c>
    </x:row>
    <x:row r="234">
      <x:c r="A234" s="47" t="str">
        <x:v>SF026</x:v>
      </x:c>
      <x:c r="B234" s="47" t="str">
        <x:v>海鮮/魚類</x:v>
      </x:c>
      <x:c r="C234" s="47" t="str">
        <x:v>多利魚/巴沙魚（熟）</x:v>
      </x:c>
      <x:c r="D234" s="47" t="str">
        <x:v>熟/可食部</x:v>
      </x:c>
      <x:c r="E234" s="48" t="n">
        <x:v>105</x:v>
      </x:c>
      <x:c r="F234" s="48" t="n">
        <x:v>23</x:v>
      </x:c>
      <x:c r="G234" s="48" t="n">
        <x:v>1.4</x:v>
      </x:c>
      <x:c r="H234" s="48" t="n">
        <x:v>0</x:v>
      </x:c>
      <x:c r="I234" s="49" t="n">
        <x:v>50</x:v>
      </x:c>
      <x:c r="J234" s="47" t="str">
        <x:v>USDA FDC / Taiwan FDA / estimate</x:v>
      </x:c>
      <x:c r="K234" s="47" t="str">
        <x:v>進口魚片常見，估算</x:v>
      </x:c>
      <x:c r="L234" s="47" t="str">
        <x:v>https://fdc.nal.usda.gov/ ; https://www.fda.gov.tw/tc/siteList.aspx?sid=284 ; https://consumer.fda.gov.tw/Food/TFND.aspx?nodeID=178</x:v>
      </x:c>
    </x:row>
    <x:row r="235">
      <x:c r="A235" s="47" t="str">
        <x:v>SF027</x:v>
      </x:c>
      <x:c r="B235" s="47" t="str">
        <x:v>海鮮/魚類</x:v>
      </x:c>
      <x:c r="C235" s="47" t="str">
        <x:v>虱目魚肚（熟）</x:v>
      </x:c>
      <x:c r="D235" s="47" t="str">
        <x:v>熟/可食部</x:v>
      </x:c>
      <x:c r="E235" s="48" t="n">
        <x:v>250</x:v>
      </x:c>
      <x:c r="F235" s="48" t="n">
        <x:v>20</x:v>
      </x:c>
      <x:c r="G235" s="48" t="n">
        <x:v>18</x:v>
      </x:c>
      <x:c r="H235" s="48" t="n">
        <x:v>0</x:v>
      </x:c>
      <x:c r="I235" s="49" t="n">
        <x:v>90</x:v>
      </x:c>
      <x:c r="J235" s="47" t="str">
        <x:v>USDA FDC / Taiwan FDA / estimate</x:v>
      </x:c>
      <x:c r="K235" s="47" t="str">
        <x:v>魚肚脂肪較高</x:v>
      </x:c>
      <x:c r="L235" s="47" t="str">
        <x:v>https://fdc.nal.usda.gov/ ; https://www.fda.gov.tw/tc/siteList.aspx?sid=284 ; https://consumer.fda.gov.tw/Food/TFND.aspx?nodeID=178</x:v>
      </x:c>
    </x:row>
    <x:row r="236">
      <x:c r="A236" s="47" t="str">
        <x:v>SF028</x:v>
      </x:c>
      <x:c r="B236" s="47" t="str">
        <x:v>海鮮/魚類</x:v>
      </x:c>
      <x:c r="C236" s="47" t="str">
        <x:v>虱目魚背肉（熟）</x:v>
      </x:c>
      <x:c r="D236" s="47" t="str">
        <x:v>熟/可食部</x:v>
      </x:c>
      <x:c r="E236" s="48" t="n">
        <x:v>160</x:v>
      </x:c>
      <x:c r="F236" s="48" t="n">
        <x:v>23</x:v>
      </x:c>
      <x:c r="G236" s="48" t="n">
        <x:v>7</x:v>
      </x:c>
      <x:c r="H236" s="48" t="n">
        <x:v>0</x:v>
      </x:c>
      <x:c r="I236" s="49" t="n">
        <x:v>85</x:v>
      </x:c>
      <x:c r="J236" s="47" t="str">
        <x:v>USDA FDC / Taiwan FDA / estimate</x:v>
      </x:c>
      <x:c r="K236" s="47"/>
      <x:c r="L236" s="47" t="str">
        <x:v>https://fdc.nal.usda.gov/ ; https://www.fda.gov.tw/tc/siteList.aspx?sid=284 ; https://consumer.fda.gov.tw/Food/TFND.aspx?nodeID=178</x:v>
      </x:c>
    </x:row>
    <x:row r="237">
      <x:c r="A237" s="47" t="str">
        <x:v>SF029</x:v>
      </x:c>
      <x:c r="B237" s="47" t="str">
        <x:v>海鮮/魚類</x:v>
      </x:c>
      <x:c r="C237" s="47" t="str">
        <x:v>鯖魚罐頭（水煮瀝乾）</x:v>
      </x:c>
      <x:c r="D237" s="47" t="str">
        <x:v>可食部</x:v>
      </x:c>
      <x:c r="E237" s="48" t="n">
        <x:v>156</x:v>
      </x:c>
      <x:c r="F237" s="48" t="n">
        <x:v>24</x:v>
      </x:c>
      <x:c r="G237" s="48" t="n">
        <x:v>6</x:v>
      </x:c>
      <x:c r="H237" s="48" t="n">
        <x:v>0</x:v>
      </x:c>
      <x:c r="I237" s="49" t="n">
        <x:v>350</x:v>
      </x:c>
      <x:c r="J237" s="47" t="str">
        <x:v>USDA FDC / Taiwan FDA / estimate</x:v>
      </x:c>
      <x:c r="K237" s="47" t="str">
        <x:v>加工品鈉較高</x:v>
      </x:c>
      <x:c r="L237" s="47" t="str">
        <x:v>https://fdc.nal.usda.gov/ ; https://www.fda.gov.tw/tc/siteList.aspx?sid=284 ; https://consumer.fda.gov.tw/Food/TFND.aspx?nodeID=178</x:v>
      </x:c>
    </x:row>
    <x:row r="238">
      <x:c r="A238" s="47" t="str">
        <x:v>SF030</x:v>
      </x:c>
      <x:c r="B238" s="47" t="str">
        <x:v>海鮮/魚類</x:v>
      </x:c>
      <x:c r="C238" s="47" t="str">
        <x:v>鮪魚罐頭（水煮瀝乾）</x:v>
      </x:c>
      <x:c r="D238" s="47" t="str">
        <x:v>可食部</x:v>
      </x:c>
      <x:c r="E238" s="48" t="n">
        <x:v>116</x:v>
      </x:c>
      <x:c r="F238" s="48" t="n">
        <x:v>26</x:v>
      </x:c>
      <x:c r="G238" s="48" t="n">
        <x:v>1</x:v>
      </x:c>
      <x:c r="H238" s="48" t="n">
        <x:v>0</x:v>
      </x:c>
      <x:c r="I238" s="49" t="n">
        <x:v>300</x:v>
      </x:c>
      <x:c r="J238" s="47" t="str">
        <x:v>USDA FDC / Taiwan FDA / estimate</x:v>
      </x:c>
      <x:c r="K238" s="47" t="str">
        <x:v>品牌差異大</x:v>
      </x:c>
      <x:c r="L238" s="47" t="str">
        <x:v>https://fdc.nal.usda.gov/ ; https://www.fda.gov.tw/tc/siteList.aspx?sid=284 ; https://consumer.fda.gov.tw/Food/TFND.aspx?nodeID=178</x:v>
      </x:c>
    </x:row>
    <x:row r="239">
      <x:c r="A239" s="47" t="str">
        <x:v>SF031</x:v>
      </x:c>
      <x:c r="B239" s="47" t="str">
        <x:v>海鮮/魚類</x:v>
      </x:c>
      <x:c r="C239" s="47" t="str">
        <x:v>鮪魚罐頭（油漬瀝乾）</x:v>
      </x:c>
      <x:c r="D239" s="47" t="str">
        <x:v>可食部</x:v>
      </x:c>
      <x:c r="E239" s="48" t="n">
        <x:v>198</x:v>
      </x:c>
      <x:c r="F239" s="48" t="n">
        <x:v>29</x:v>
      </x:c>
      <x:c r="G239" s="48" t="n">
        <x:v>8</x:v>
      </x:c>
      <x:c r="H239" s="48" t="n">
        <x:v>0</x:v>
      </x:c>
      <x:c r="I239" s="49" t="n">
        <x:v>350</x:v>
      </x:c>
      <x:c r="J239" s="47" t="str">
        <x:v>USDA FDC / Taiwan FDA / estimate</x:v>
      </x:c>
      <x:c r="K239" s="47" t="str">
        <x:v>瀝油程度影響大</x:v>
      </x:c>
      <x:c r="L239" s="47" t="str">
        <x:v>https://fdc.nal.usda.gov/ ; https://www.fda.gov.tw/tc/siteList.aspx?sid=284 ; https://consumer.fda.gov.tw/Food/TFND.aspx?nodeID=178</x:v>
      </x:c>
    </x:row>
    <x:row r="240">
      <x:c r="A240" s="47" t="str">
        <x:v>SF032</x:v>
      </x:c>
      <x:c r="B240" s="47" t="str">
        <x:v>海鮮/魚類</x:v>
      </x:c>
      <x:c r="C240" s="47" t="str">
        <x:v>蝦仁（生）</x:v>
      </x:c>
      <x:c r="D240" s="47" t="str">
        <x:v>生/可食部</x:v>
      </x:c>
      <x:c r="E240" s="48" t="n">
        <x:v>85</x:v>
      </x:c>
      <x:c r="F240" s="48" t="n">
        <x:v>20</x:v>
      </x:c>
      <x:c r="G240" s="48" t="n">
        <x:v>0.5</x:v>
      </x:c>
      <x:c r="H240" s="48" t="n">
        <x:v>0.2</x:v>
      </x:c>
      <x:c r="I240" s="49" t="n">
        <x:v>120</x:v>
      </x:c>
      <x:c r="J240" s="47" t="str">
        <x:v>USDA FDC / Taiwan FDA / estimate</x:v>
      </x:c>
      <x:c r="K240" s="47"/>
      <x:c r="L240" s="47" t="str">
        <x:v>https://fdc.nal.usda.gov/ ; https://www.fda.gov.tw/tc/siteList.aspx?sid=284 ; https://consumer.fda.gov.tw/Food/TFND.aspx?nodeID=178</x:v>
      </x:c>
    </x:row>
    <x:row r="241">
      <x:c r="A241" s="47" t="str">
        <x:v>SF033</x:v>
      </x:c>
      <x:c r="B241" s="47" t="str">
        <x:v>海鮮/魚類</x:v>
      </x:c>
      <x:c r="C241" s="47" t="str">
        <x:v>草蝦（熟）</x:v>
      </x:c>
      <x:c r="D241" s="47" t="str">
        <x:v>熟/可食部</x:v>
      </x:c>
      <x:c r="E241" s="48" t="n">
        <x:v>99</x:v>
      </x:c>
      <x:c r="F241" s="48" t="n">
        <x:v>24</x:v>
      </x:c>
      <x:c r="G241" s="48" t="n">
        <x:v>0.3</x:v>
      </x:c>
      <x:c r="H241" s="48" t="n">
        <x:v>0.2</x:v>
      </x:c>
      <x:c r="I241" s="49" t="n">
        <x:v>110</x:v>
      </x:c>
      <x:c r="J241" s="47" t="str">
        <x:v>USDA FDC / Taiwan FDA / estimate</x:v>
      </x:c>
      <x:c r="K241" s="47"/>
      <x:c r="L241" s="47" t="str">
        <x:v>https://fdc.nal.usda.gov/ ; https://www.fda.gov.tw/tc/siteList.aspx?sid=284 ; https://consumer.fda.gov.tw/Food/TFND.aspx?nodeID=178</x:v>
      </x:c>
    </x:row>
    <x:row r="242">
      <x:c r="A242" s="47" t="str">
        <x:v>SF034</x:v>
      </x:c>
      <x:c r="B242" s="47" t="str">
        <x:v>海鮮/魚類</x:v>
      </x:c>
      <x:c r="C242" s="47" t="str">
        <x:v>白蝦（熟）</x:v>
      </x:c>
      <x:c r="D242" s="47" t="str">
        <x:v>熟/可食部</x:v>
      </x:c>
      <x:c r="E242" s="48" t="n">
        <x:v>99</x:v>
      </x:c>
      <x:c r="F242" s="48" t="n">
        <x:v>24</x:v>
      </x:c>
      <x:c r="G242" s="48" t="n">
        <x:v>0.3</x:v>
      </x:c>
      <x:c r="H242" s="48" t="n">
        <x:v>0.2</x:v>
      </x:c>
      <x:c r="I242" s="49" t="n">
        <x:v>110</x:v>
      </x:c>
      <x:c r="J242" s="47" t="str">
        <x:v>USDA FDC / Taiwan FDA / estimate</x:v>
      </x:c>
      <x:c r="K242" s="47"/>
      <x:c r="L242" s="47" t="str">
        <x:v>https://fdc.nal.usda.gov/ ; https://www.fda.gov.tw/tc/siteList.aspx?sid=284 ; https://consumer.fda.gov.tw/Food/TFND.aspx?nodeID=178</x:v>
      </x:c>
    </x:row>
    <x:row r="243">
      <x:c r="A243" s="47" t="str">
        <x:v>SF035</x:v>
      </x:c>
      <x:c r="B243" s="47" t="str">
        <x:v>海鮮/魚類</x:v>
      </x:c>
      <x:c r="C243" s="47" t="str">
        <x:v>明蝦（熟）</x:v>
      </x:c>
      <x:c r="D243" s="47" t="str">
        <x:v>熟/可食部</x:v>
      </x:c>
      <x:c r="E243" s="48" t="n">
        <x:v>100</x:v>
      </x:c>
      <x:c r="F243" s="48" t="n">
        <x:v>23.5</x:v>
      </x:c>
      <x:c r="G243" s="48" t="n">
        <x:v>0.5</x:v>
      </x:c>
      <x:c r="H243" s="48" t="n">
        <x:v>0.3</x:v>
      </x:c>
      <x:c r="I243" s="49" t="n">
        <x:v>110</x:v>
      </x:c>
      <x:c r="J243" s="47" t="str">
        <x:v>USDA FDC / Taiwan FDA / estimate</x:v>
      </x:c>
      <x:c r="K243" s="47"/>
      <x:c r="L243" s="47" t="str">
        <x:v>https://fdc.nal.usda.gov/ ; https://www.fda.gov.tw/tc/siteList.aspx?sid=284 ; https://consumer.fda.gov.tw/Food/TFND.aspx?nodeID=178</x:v>
      </x:c>
    </x:row>
    <x:row r="244">
      <x:c r="A244" s="47" t="str">
        <x:v>SF036</x:v>
      </x:c>
      <x:c r="B244" s="47" t="str">
        <x:v>海鮮/魚類</x:v>
      </x:c>
      <x:c r="C244" s="47" t="str">
        <x:v>龍蝦（熟）</x:v>
      </x:c>
      <x:c r="D244" s="47" t="str">
        <x:v>熟/可食部</x:v>
      </x:c>
      <x:c r="E244" s="48" t="n">
        <x:v>89</x:v>
      </x:c>
      <x:c r="F244" s="48" t="n">
        <x:v>19</x:v>
      </x:c>
      <x:c r="G244" s="48" t="n">
        <x:v>0.9</x:v>
      </x:c>
      <x:c r="H244" s="48" t="n">
        <x:v>0</x:v>
      </x:c>
      <x:c r="I244" s="49" t="n">
        <x:v>486</x:v>
      </x:c>
      <x:c r="J244" s="47" t="str">
        <x:v>USDA FDC / Taiwan FDA / estimate</x:v>
      </x:c>
      <x:c r="K244" s="47" t="str">
        <x:v>天然鈉較高</x:v>
      </x:c>
      <x:c r="L244" s="47" t="str">
        <x:v>https://fdc.nal.usda.gov/ ; https://www.fda.gov.tw/tc/siteList.aspx?sid=284 ; https://consumer.fda.gov.tw/Food/TFND.aspx?nodeID=178</x:v>
      </x:c>
    </x:row>
    <x:row r="245">
      <x:c r="A245" s="47" t="str">
        <x:v>SF037</x:v>
      </x:c>
      <x:c r="B245" s="47" t="str">
        <x:v>海鮮/魚類</x:v>
      </x:c>
      <x:c r="C245" s="47" t="str">
        <x:v>螃蟹肉（熟）</x:v>
      </x:c>
      <x:c r="D245" s="47" t="str">
        <x:v>熟/可食部</x:v>
      </x:c>
      <x:c r="E245" s="48" t="n">
        <x:v>97</x:v>
      </x:c>
      <x:c r="F245" s="48" t="n">
        <x:v>19</x:v>
      </x:c>
      <x:c r="G245" s="48" t="n">
        <x:v>1.5</x:v>
      </x:c>
      <x:c r="H245" s="48" t="n">
        <x:v>0</x:v>
      </x:c>
      <x:c r="I245" s="49" t="n">
        <x:v>1072</x:v>
      </x:c>
      <x:c r="J245" s="47" t="str">
        <x:v>USDA FDC / Taiwan FDA / estimate</x:v>
      </x:c>
      <x:c r="K245" s="47" t="str">
        <x:v>天然鈉高</x:v>
      </x:c>
      <x:c r="L245" s="47" t="str">
        <x:v>https://fdc.nal.usda.gov/ ; https://www.fda.gov.tw/tc/siteList.aspx?sid=284 ; https://consumer.fda.gov.tw/Food/TFND.aspx?nodeID=178</x:v>
      </x:c>
    </x:row>
    <x:row r="246">
      <x:c r="A246" s="47" t="str">
        <x:v>SF038</x:v>
      </x:c>
      <x:c r="B246" s="47" t="str">
        <x:v>海鮮/魚類</x:v>
      </x:c>
      <x:c r="C246" s="47" t="str">
        <x:v>蟹腿肉（熟）</x:v>
      </x:c>
      <x:c r="D246" s="47" t="str">
        <x:v>熟/可食部</x:v>
      </x:c>
      <x:c r="E246" s="48" t="n">
        <x:v>92</x:v>
      </x:c>
      <x:c r="F246" s="48" t="n">
        <x:v>19</x:v>
      </x:c>
      <x:c r="G246" s="48" t="n">
        <x:v>1</x:v>
      </x:c>
      <x:c r="H246" s="48" t="n">
        <x:v>0</x:v>
      </x:c>
      <x:c r="I246" s="49" t="n">
        <x:v>900</x:v>
      </x:c>
      <x:c r="J246" s="47" t="str">
        <x:v>USDA FDC / Taiwan FDA / estimate</x:v>
      </x:c>
      <x:c r="K246" s="47" t="str">
        <x:v>天然鈉高</x:v>
      </x:c>
      <x:c r="L246" s="47" t="str">
        <x:v>https://fdc.nal.usda.gov/ ; https://www.fda.gov.tw/tc/siteList.aspx?sid=284 ; https://consumer.fda.gov.tw/Food/TFND.aspx?nodeID=178</x:v>
      </x:c>
    </x:row>
    <x:row r="247">
      <x:c r="A247" s="47" t="str">
        <x:v>SF039</x:v>
      </x:c>
      <x:c r="B247" s="47" t="str">
        <x:v>海鮮/魚類</x:v>
      </x:c>
      <x:c r="C247" s="47" t="str">
        <x:v>干貝（熟）</x:v>
      </x:c>
      <x:c r="D247" s="47" t="str">
        <x:v>熟/可食部</x:v>
      </x:c>
      <x:c r="E247" s="48" t="n">
        <x:v>111</x:v>
      </x:c>
      <x:c r="F247" s="48" t="n">
        <x:v>20.5</x:v>
      </x:c>
      <x:c r="G247" s="48" t="n">
        <x:v>0.8</x:v>
      </x:c>
      <x:c r="H247" s="48" t="n">
        <x:v>5.4</x:v>
      </x:c>
      <x:c r="I247" s="49" t="n">
        <x:v>667</x:v>
      </x:c>
      <x:c r="J247" s="47" t="str">
        <x:v>USDA FDC / Taiwan FDA / estimate</x:v>
      </x:c>
      <x:c r="K247" s="47" t="str">
        <x:v>天然鈉高</x:v>
      </x:c>
      <x:c r="L247" s="47" t="str">
        <x:v>https://fdc.nal.usda.gov/ ; https://www.fda.gov.tw/tc/siteList.aspx?sid=284 ; https://consumer.fda.gov.tw/Food/TFND.aspx?nodeID=178</x:v>
      </x:c>
    </x:row>
    <x:row r="248">
      <x:c r="A248" s="47" t="str">
        <x:v>SF040</x:v>
      </x:c>
      <x:c r="B248" s="47" t="str">
        <x:v>海鮮/魚類</x:v>
      </x:c>
      <x:c r="C248" s="47" t="str">
        <x:v>扇貝（熟）</x:v>
      </x:c>
      <x:c r="D248" s="47" t="str">
        <x:v>熟/可食部</x:v>
      </x:c>
      <x:c r="E248" s="48" t="n">
        <x:v>111</x:v>
      </x:c>
      <x:c r="F248" s="48" t="n">
        <x:v>20.5</x:v>
      </x:c>
      <x:c r="G248" s="48" t="n">
        <x:v>0.8</x:v>
      </x:c>
      <x:c r="H248" s="48" t="n">
        <x:v>5.4</x:v>
      </x:c>
      <x:c r="I248" s="49" t="n">
        <x:v>667</x:v>
      </x:c>
      <x:c r="J248" s="47" t="str">
        <x:v>USDA FDC / Taiwan FDA / estimate</x:v>
      </x:c>
      <x:c r="K248" s="47"/>
      <x:c r="L248" s="47" t="str">
        <x:v>https://fdc.nal.usda.gov/ ; https://www.fda.gov.tw/tc/siteList.aspx?sid=284 ; https://consumer.fda.gov.tw/Food/TFND.aspx?nodeID=178</x:v>
      </x:c>
    </x:row>
    <x:row r="249">
      <x:c r="A249" s="47" t="str">
        <x:v>SF041</x:v>
      </x:c>
      <x:c r="B249" s="47" t="str">
        <x:v>海鮮/魚類</x:v>
      </x:c>
      <x:c r="C249" s="47" t="str">
        <x:v>淡菜/貽貝（熟）</x:v>
      </x:c>
      <x:c r="D249" s="47" t="str">
        <x:v>熟/可食部</x:v>
      </x:c>
      <x:c r="E249" s="48" t="n">
        <x:v>172</x:v>
      </x:c>
      <x:c r="F249" s="48" t="n">
        <x:v>24</x:v>
      </x:c>
      <x:c r="G249" s="48" t="n">
        <x:v>4.5</x:v>
      </x:c>
      <x:c r="H249" s="48" t="n">
        <x:v>7.4</x:v>
      </x:c>
      <x:c r="I249" s="49" t="n">
        <x:v>369</x:v>
      </x:c>
      <x:c r="J249" s="47" t="str">
        <x:v>USDA FDC / Taiwan FDA / estimate</x:v>
      </x:c>
      <x:c r="K249" s="47"/>
      <x:c r="L249" s="47" t="str">
        <x:v>https://fdc.nal.usda.gov/ ; https://www.fda.gov.tw/tc/siteList.aspx?sid=284 ; https://consumer.fda.gov.tw/Food/TFND.aspx?nodeID=178</x:v>
      </x:c>
    </x:row>
    <x:row r="250">
      <x:c r="A250" s="47" t="str">
        <x:v>SF042</x:v>
      </x:c>
      <x:c r="B250" s="47" t="str">
        <x:v>海鮮/魚類</x:v>
      </x:c>
      <x:c r="C250" s="47" t="str">
        <x:v>蛤蜊（生）</x:v>
      </x:c>
      <x:c r="D250" s="47" t="str">
        <x:v>生/可食部</x:v>
      </x:c>
      <x:c r="E250" s="48" t="n">
        <x:v>86</x:v>
      </x:c>
      <x:c r="F250" s="48" t="n">
        <x:v>14.7</x:v>
      </x:c>
      <x:c r="G250" s="48" t="n">
        <x:v>1</x:v>
      </x:c>
      <x:c r="H250" s="48" t="n">
        <x:v>3.6</x:v>
      </x:c>
      <x:c r="I250" s="49" t="n">
        <x:v>601</x:v>
      </x:c>
      <x:c r="J250" s="47" t="str">
        <x:v>USDA FDC / Taiwan FDA / estimate</x:v>
      </x:c>
      <x:c r="K250" s="47"/>
      <x:c r="L250" s="47" t="str">
        <x:v>https://fdc.nal.usda.gov/ ; https://www.fda.gov.tw/tc/siteList.aspx?sid=284 ; https://consumer.fda.gov.tw/Food/TFND.aspx?nodeID=178</x:v>
      </x:c>
    </x:row>
    <x:row r="251">
      <x:c r="A251" s="47" t="str">
        <x:v>SF043</x:v>
      </x:c>
      <x:c r="B251" s="47" t="str">
        <x:v>海鮮/魚類</x:v>
      </x:c>
      <x:c r="C251" s="47" t="str">
        <x:v>文蛤（熟）</x:v>
      </x:c>
      <x:c r="D251" s="47" t="str">
        <x:v>熟/可食部</x:v>
      </x:c>
      <x:c r="E251" s="48" t="n">
        <x:v>140</x:v>
      </x:c>
      <x:c r="F251" s="48" t="n">
        <x:v>23</x:v>
      </x:c>
      <x:c r="G251" s="48" t="n">
        <x:v>2</x:v>
      </x:c>
      <x:c r="H251" s="48" t="n">
        <x:v>5</x:v>
      </x:c>
      <x:c r="I251" s="49" t="n">
        <x:v>1100</x:v>
      </x:c>
      <x:c r="J251" s="47" t="str">
        <x:v>USDA FDC / Taiwan FDA / estimate</x:v>
      </x:c>
      <x:c r="K251" s="47" t="str">
        <x:v>湯汁若喝下需計入</x:v>
      </x:c>
      <x:c r="L251" s="47" t="str">
        <x:v>https://fdc.nal.usda.gov/ ; https://www.fda.gov.tw/tc/siteList.aspx?sid=284 ; https://consumer.fda.gov.tw/Food/TFND.aspx?nodeID=178</x:v>
      </x:c>
    </x:row>
    <x:row r="252">
      <x:c r="A252" s="47" t="str">
        <x:v>SF044</x:v>
      </x:c>
      <x:c r="B252" s="47" t="str">
        <x:v>海鮮/魚類</x:v>
      </x:c>
      <x:c r="C252" s="47" t="str">
        <x:v>蜆（熟）</x:v>
      </x:c>
      <x:c r="D252" s="47" t="str">
        <x:v>熟/可食部</x:v>
      </x:c>
      <x:c r="E252" s="48" t="n">
        <x:v>120</x:v>
      </x:c>
      <x:c r="F252" s="48" t="n">
        <x:v>20</x:v>
      </x:c>
      <x:c r="G252" s="48" t="n">
        <x:v>1.8</x:v>
      </x:c>
      <x:c r="H252" s="48" t="n">
        <x:v>4</x:v>
      </x:c>
      <x:c r="I252" s="49" t="n">
        <x:v>900</x:v>
      </x:c>
      <x:c r="J252" s="47" t="str">
        <x:v>USDA FDC / Taiwan FDA / estimate</x:v>
      </x:c>
      <x:c r="K252" s="47"/>
      <x:c r="L252" s="47" t="str">
        <x:v>https://fdc.nal.usda.gov/ ; https://www.fda.gov.tw/tc/siteList.aspx?sid=284 ; https://consumer.fda.gov.tw/Food/TFND.aspx?nodeID=178</x:v>
      </x:c>
    </x:row>
    <x:row r="253">
      <x:c r="A253" s="47" t="str">
        <x:v>SF045</x:v>
      </x:c>
      <x:c r="B253" s="47" t="str">
        <x:v>海鮮/魚類</x:v>
      </x:c>
      <x:c r="C253" s="47" t="str">
        <x:v>牡蠣（生）</x:v>
      </x:c>
      <x:c r="D253" s="47" t="str">
        <x:v>生/可食部</x:v>
      </x:c>
      <x:c r="E253" s="48" t="n">
        <x:v>68</x:v>
      </x:c>
      <x:c r="F253" s="48" t="n">
        <x:v>7</x:v>
      </x:c>
      <x:c r="G253" s="48" t="n">
        <x:v>2.5</x:v>
      </x:c>
      <x:c r="H253" s="48" t="n">
        <x:v>4</x:v>
      </x:c>
      <x:c r="I253" s="49" t="n">
        <x:v>90</x:v>
      </x:c>
      <x:c r="J253" s="47" t="str">
        <x:v>USDA FDC / Taiwan FDA / estimate</x:v>
      </x:c>
      <x:c r="K253" s="47"/>
      <x:c r="L253" s="47" t="str">
        <x:v>https://fdc.nal.usda.gov/ ; https://www.fda.gov.tw/tc/siteList.aspx?sid=284 ; https://consumer.fda.gov.tw/Food/TFND.aspx?nodeID=178</x:v>
      </x:c>
    </x:row>
    <x:row r="254">
      <x:c r="A254" s="47" t="str">
        <x:v>SF046</x:v>
      </x:c>
      <x:c r="B254" s="47" t="str">
        <x:v>海鮮/魚類</x:v>
      </x:c>
      <x:c r="C254" s="47" t="str">
        <x:v>生蠔（熟）</x:v>
      </x:c>
      <x:c r="D254" s="47" t="str">
        <x:v>熟/可食部</x:v>
      </x:c>
      <x:c r="E254" s="48" t="n">
        <x:v>79</x:v>
      </x:c>
      <x:c r="F254" s="48" t="n">
        <x:v>9</x:v>
      </x:c>
      <x:c r="G254" s="48" t="n">
        <x:v>2.3</x:v>
      </x:c>
      <x:c r="H254" s="48" t="n">
        <x:v>4.8</x:v>
      </x:c>
      <x:c r="I254" s="49" t="n">
        <x:v>106</x:v>
      </x:c>
      <x:c r="J254" s="47" t="str">
        <x:v>USDA FDC / Taiwan FDA / estimate</x:v>
      </x:c>
      <x:c r="K254" s="47"/>
      <x:c r="L254" s="47" t="str">
        <x:v>https://fdc.nal.usda.gov/ ; https://www.fda.gov.tw/tc/siteList.aspx?sid=284 ; https://consumer.fda.gov.tw/Food/TFND.aspx?nodeID=178</x:v>
      </x:c>
    </x:row>
    <x:row r="255">
      <x:c r="A255" s="47" t="str">
        <x:v>SF047</x:v>
      </x:c>
      <x:c r="B255" s="47" t="str">
        <x:v>海鮮/魚類</x:v>
      </x:c>
      <x:c r="C255" s="47" t="str">
        <x:v>魷魚（生）</x:v>
      </x:c>
      <x:c r="D255" s="47" t="str">
        <x:v>生/可食部</x:v>
      </x:c>
      <x:c r="E255" s="48" t="n">
        <x:v>92</x:v>
      </x:c>
      <x:c r="F255" s="48" t="n">
        <x:v>15.6</x:v>
      </x:c>
      <x:c r="G255" s="48" t="n">
        <x:v>1.4</x:v>
      </x:c>
      <x:c r="H255" s="48" t="n">
        <x:v>3.1</x:v>
      </x:c>
      <x:c r="I255" s="49" t="n">
        <x:v>44</x:v>
      </x:c>
      <x:c r="J255" s="47" t="str">
        <x:v>USDA FDC / Taiwan FDA / estimate</x:v>
      </x:c>
      <x:c r="K255" s="47"/>
      <x:c r="L255" s="47" t="str">
        <x:v>https://fdc.nal.usda.gov/ ; https://www.fda.gov.tw/tc/siteList.aspx?sid=284 ; https://consumer.fda.gov.tw/Food/TFND.aspx?nodeID=178</x:v>
      </x:c>
    </x:row>
    <x:row r="256">
      <x:c r="A256" s="47" t="str">
        <x:v>SF048</x:v>
      </x:c>
      <x:c r="B256" s="47" t="str">
        <x:v>海鮮/魚類</x:v>
      </x:c>
      <x:c r="C256" s="47" t="str">
        <x:v>花枝/烏賊（熟）</x:v>
      </x:c>
      <x:c r="D256" s="47" t="str">
        <x:v>熟/可食部</x:v>
      </x:c>
      <x:c r="E256" s="48" t="n">
        <x:v>79</x:v>
      </x:c>
      <x:c r="F256" s="48" t="n">
        <x:v>16</x:v>
      </x:c>
      <x:c r="G256" s="48" t="n">
        <x:v>1</x:v>
      </x:c>
      <x:c r="H256" s="48" t="n">
        <x:v>1</x:v>
      </x:c>
      <x:c r="I256" s="49" t="n">
        <x:v>744</x:v>
      </x:c>
      <x:c r="J256" s="47" t="str">
        <x:v>USDA FDC / Taiwan FDA / estimate</x:v>
      </x:c>
      <x:c r="K256" s="47" t="str">
        <x:v>不同資料庫鈉差異大</x:v>
      </x:c>
      <x:c r="L256" s="47" t="str">
        <x:v>https://fdc.nal.usda.gov/ ; https://www.fda.gov.tw/tc/siteList.aspx?sid=284 ; https://consumer.fda.gov.tw/Food/TFND.aspx?nodeID=178</x:v>
      </x:c>
    </x:row>
    <x:row r="257">
      <x:c r="A257" s="47" t="str">
        <x:v>SF049</x:v>
      </x:c>
      <x:c r="B257" s="47" t="str">
        <x:v>海鮮/魚類</x:v>
      </x:c>
      <x:c r="C257" s="47" t="str">
        <x:v>章魚（熟）</x:v>
      </x:c>
      <x:c r="D257" s="47" t="str">
        <x:v>熟/可食部</x:v>
      </x:c>
      <x:c r="E257" s="48" t="n">
        <x:v>164</x:v>
      </x:c>
      <x:c r="F257" s="48" t="n">
        <x:v>30</x:v>
      </x:c>
      <x:c r="G257" s="48" t="n">
        <x:v>2.1</x:v>
      </x:c>
      <x:c r="H257" s="48" t="n">
        <x:v>4.4</x:v>
      </x:c>
      <x:c r="I257" s="49" t="n">
        <x:v>460</x:v>
      </x:c>
      <x:c r="J257" s="47" t="str">
        <x:v>USDA FDC / Taiwan FDA / estimate</x:v>
      </x:c>
      <x:c r="K257" s="47"/>
      <x:c r="L257" s="47" t="str">
        <x:v>https://fdc.nal.usda.gov/ ; https://www.fda.gov.tw/tc/siteList.aspx?sid=284 ; https://consumer.fda.gov.tw/Food/TFND.aspx?nodeID=178</x:v>
      </x:c>
    </x:row>
    <x:row r="258">
      <x:c r="A258" s="47" t="str">
        <x:v>SF050</x:v>
      </x:c>
      <x:c r="B258" s="47" t="str">
        <x:v>海鮮/魚類</x:v>
      </x:c>
      <x:c r="C258" s="47" t="str">
        <x:v>小卷（熟）</x:v>
      </x:c>
      <x:c r="D258" s="47" t="str">
        <x:v>熟/可食部</x:v>
      </x:c>
      <x:c r="E258" s="48" t="n">
        <x:v>92</x:v>
      </x:c>
      <x:c r="F258" s="48" t="n">
        <x:v>16</x:v>
      </x:c>
      <x:c r="G258" s="48" t="n">
        <x:v>1.3</x:v>
      </x:c>
      <x:c r="H258" s="48" t="n">
        <x:v>3</x:v>
      </x:c>
      <x:c r="I258" s="49" t="n">
        <x:v>45</x:v>
      </x:c>
      <x:c r="J258" s="47" t="str">
        <x:v>USDA FDC / Taiwan FDA / estimate</x:v>
      </x:c>
      <x:c r="K258" s="47"/>
      <x:c r="L258" s="47" t="str">
        <x:v>https://fdc.nal.usda.gov/ ; https://www.fda.gov.tw/tc/siteList.aspx?sid=284 ; https://consumer.fda.gov.tw/Food/TFND.aspx?nodeID=178</x:v>
      </x:c>
    </x:row>
    <x:row r="259">
      <x:c r="A259" s="47" t="str">
        <x:v>SF051</x:v>
      </x:c>
      <x:c r="B259" s="47" t="str">
        <x:v>海鮮/魚類</x:v>
      </x:c>
      <x:c r="C259" s="47" t="str">
        <x:v>魚卵（熟）</x:v>
      </x:c>
      <x:c r="D259" s="47" t="str">
        <x:v>熟/可食部</x:v>
      </x:c>
      <x:c r="E259" s="48" t="n">
        <x:v>204</x:v>
      </x:c>
      <x:c r="F259" s="48" t="n">
        <x:v>28</x:v>
      </x:c>
      <x:c r="G259" s="48" t="n">
        <x:v>8</x:v>
      </x:c>
      <x:c r="H259" s="48" t="n">
        <x:v>1.5</x:v>
      </x:c>
      <x:c r="I259" s="49" t="n">
        <x:v>117</x:v>
      </x:c>
      <x:c r="J259" s="47" t="str">
        <x:v>USDA FDC / Taiwan FDA / estimate</x:v>
      </x:c>
      <x:c r="K259" s="47" t="str">
        <x:v>種類差異大</x:v>
      </x:c>
      <x:c r="L259" s="47" t="str">
        <x:v>https://fdc.nal.usda.gov/ ; https://www.fda.gov.tw/tc/siteList.aspx?sid=284 ; https://consumer.fda.gov.tw/Food/TFND.aspx?nodeID=178</x:v>
      </x:c>
    </x:row>
    <x:row r="260">
      <x:c r="A260" s="47" t="str">
        <x:v>SF052</x:v>
      </x:c>
      <x:c r="B260" s="47" t="str">
        <x:v>海鮮/魚類</x:v>
      </x:c>
      <x:c r="C260" s="47" t="str">
        <x:v>鱈魚卵</x:v>
      </x:c>
      <x:c r="D260" s="47" t="str">
        <x:v>可食部</x:v>
      </x:c>
      <x:c r="E260" s="48" t="n">
        <x:v>143</x:v>
      </x:c>
      <x:c r="F260" s="48" t="n">
        <x:v>22</x:v>
      </x:c>
      <x:c r="G260" s="48" t="n">
        <x:v>6</x:v>
      </x:c>
      <x:c r="H260" s="48" t="n">
        <x:v>1</x:v>
      </x:c>
      <x:c r="I260" s="49" t="n">
        <x:v>600</x:v>
      </x:c>
      <x:c r="J260" s="47" t="str">
        <x:v>USDA FDC / Taiwan FDA / estimate</x:v>
      </x:c>
      <x:c r="K260" s="47" t="str">
        <x:v>常見加工調味，鈉高</x:v>
      </x:c>
      <x:c r="L260" s="47" t="str">
        <x:v>https://fdc.nal.usda.gov/ ; https://www.fda.gov.tw/tc/siteList.aspx?sid=284 ; https://consumer.fda.gov.tw/Food/TFND.aspx?nodeID=178</x:v>
      </x:c>
    </x:row>
    <x:row r="261">
      <x:c r="A261" s="47" t="str">
        <x:v>SF053</x:v>
      </x:c>
      <x:c r="B261" s="47" t="str">
        <x:v>海鮮/魚類</x:v>
      </x:c>
      <x:c r="C261" s="47" t="str">
        <x:v>海參（熟）</x:v>
      </x:c>
      <x:c r="D261" s="47" t="str">
        <x:v>熟/可食部</x:v>
      </x:c>
      <x:c r="E261" s="48" t="n">
        <x:v>56</x:v>
      </x:c>
      <x:c r="F261" s="48" t="n">
        <x:v>13</x:v>
      </x:c>
      <x:c r="G261" s="48" t="n">
        <x:v>0.4</x:v>
      </x:c>
      <x:c r="H261" s="48" t="n">
        <x:v>0</x:v>
      </x:c>
      <x:c r="I261" s="49" t="n">
        <x:v>80</x:v>
      </x:c>
      <x:c r="J261" s="47" t="str">
        <x:v>USDA FDC / Taiwan FDA / estimate</x:v>
      </x:c>
      <x:c r="K261" s="47"/>
      <x:c r="L261" s="47" t="str">
        <x:v>https://fdc.nal.usda.gov/ ; https://www.fda.gov.tw/tc/siteList.aspx?sid=284 ; https://consumer.fda.gov.tw/Food/TFND.aspx?nodeID=178</x:v>
      </x:c>
    </x:row>
    <x:row r="262">
      <x:c r="A262" s="47" t="str">
        <x:v>SF054</x:v>
      </x:c>
      <x:c r="B262" s="47" t="str">
        <x:v>海鮮/魚類</x:v>
      </x:c>
      <x:c r="C262" s="47" t="str">
        <x:v>虱目魚丸（未調味基準）</x:v>
      </x:c>
      <x:c r="D262" s="47" t="str">
        <x:v>可食部</x:v>
      </x:c>
      <x:c r="E262" s="48" t="n">
        <x:v>125</x:v>
      </x:c>
      <x:c r="F262" s="48" t="n">
        <x:v>12</x:v>
      </x:c>
      <x:c r="G262" s="48" t="n">
        <x:v>4</x:v>
      </x:c>
      <x:c r="H262" s="48" t="n">
        <x:v>10</x:v>
      </x:c>
      <x:c r="I262" s="49" t="n">
        <x:v>450</x:v>
      </x:c>
      <x:c r="J262" s="47" t="str">
        <x:v>USDA FDC / Taiwan FDA / estimate</x:v>
      </x:c>
      <x:c r="K262" s="47" t="str">
        <x:v>加工品，非純原形；供辨識備用</x:v>
      </x:c>
      <x:c r="L262" s="47" t="str">
        <x:v>https://fdc.nal.usda.gov/ ; https://www.fda.gov.tw/tc/siteList.aspx?sid=284 ; https://consumer.fda.gov.tw/Food/TFND.aspx?nodeID=178</x:v>
      </x:c>
    </x:row>
    <x:row r="263">
      <x:c r="A263" s="47" t="str">
        <x:v>SF055</x:v>
      </x:c>
      <x:c r="B263" s="47" t="str">
        <x:v>海鮮/魚類</x:v>
      </x:c>
      <x:c r="C263" s="47" t="str">
        <x:v>魚漿（未調味基準）</x:v>
      </x:c>
      <x:c r="D263" s="47" t="str">
        <x:v>可食部</x:v>
      </x:c>
      <x:c r="E263" s="48" t="n">
        <x:v>95</x:v>
      </x:c>
      <x:c r="F263" s="48" t="n">
        <x:v>15</x:v>
      </x:c>
      <x:c r="G263" s="48" t="n">
        <x:v>1</x:v>
      </x:c>
      <x:c r="H263" s="48" t="n">
        <x:v>6</x:v>
      </x:c>
      <x:c r="I263" s="49" t="n">
        <x:v>250</x:v>
      </x:c>
      <x:c r="J263" s="47" t="str">
        <x:v>USDA FDC / Taiwan FDA / estimate</x:v>
      </x:c>
      <x:c r="K263" s="47" t="str">
        <x:v>加工半成品，需品牌校正</x:v>
      </x:c>
      <x:c r="L263" s="47" t="str">
        <x:v>https://fdc.nal.usda.gov/ ; https://www.fda.gov.tw/tc/siteList.aspx?sid=284 ; https://consumer.fda.gov.tw/Food/TFND.aspx?nodeID=178</x:v>
      </x:c>
    </x:row>
    <x:row r="264">
      <x:c r="A264" s="47" t="str">
        <x:v>SF056</x:v>
      </x:c>
      <x:c r="B264" s="47" t="str">
        <x:v>海鮮/魚類</x:v>
      </x:c>
      <x:c r="C264" s="47" t="str">
        <x:v>鯖魚一夜干</x:v>
      </x:c>
      <x:c r="D264" s="47" t="str">
        <x:v>可食部</x:v>
      </x:c>
      <x:c r="E264" s="48" t="n">
        <x:v>260</x:v>
      </x:c>
      <x:c r="F264" s="48" t="n">
        <x:v>25</x:v>
      </x:c>
      <x:c r="G264" s="48" t="n">
        <x:v>17</x:v>
      </x:c>
      <x:c r="H264" s="48" t="n">
        <x:v>0</x:v>
      </x:c>
      <x:c r="I264" s="49" t="n">
        <x:v>800</x:v>
      </x:c>
      <x:c r="J264" s="47" t="str">
        <x:v>USDA FDC / Taiwan FDA / estimate</x:v>
      </x:c>
      <x:c r="K264" s="47" t="str">
        <x:v>鹽漬鈉高</x:v>
      </x:c>
      <x:c r="L264" s="47" t="str">
        <x:v>https://fdc.nal.usda.gov/ ; https://www.fda.gov.tw/tc/siteList.aspx?sid=284 ; https://consumer.fda.gov.tw/Food/TFND.aspx?nodeID=178</x:v>
      </x:c>
    </x:row>
    <x:row r="265">
      <x:c r="A265" s="47" t="str">
        <x:v>SF057</x:v>
      </x:c>
      <x:c r="B265" s="47" t="str">
        <x:v>海鮮/魚類</x:v>
      </x:c>
      <x:c r="C265" s="47" t="str">
        <x:v>鮭魚頭（熟可食肉）</x:v>
      </x:c>
      <x:c r="D265" s="47" t="str">
        <x:v>熟/可食部</x:v>
      </x:c>
      <x:c r="E265" s="48" t="n">
        <x:v>230</x:v>
      </x:c>
      <x:c r="F265" s="48" t="n">
        <x:v>20</x:v>
      </x:c>
      <x:c r="G265" s="48" t="n">
        <x:v>16</x:v>
      </x:c>
      <x:c r="H265" s="48" t="n">
        <x:v>0</x:v>
      </x:c>
      <x:c r="I265" s="49" t="n">
        <x:v>70</x:v>
      </x:c>
      <x:c r="J265" s="47" t="str">
        <x:v>USDA FDC / Taiwan FDA / estimate</x:v>
      </x:c>
      <x:c r="K265" s="47" t="str">
        <x:v>只計可食肉</x:v>
      </x:c>
      <x:c r="L265" s="47" t="str">
        <x:v>https://fdc.nal.usda.gov/ ; https://www.fda.gov.tw/tc/siteList.aspx?sid=284 ; https://consumer.fda.gov.tw/Food/TFND.aspx?nodeID=178</x:v>
      </x:c>
    </x:row>
    <x:row r="266">
      <x:c r="A266" s="47" t="str">
        <x:v>SF058</x:v>
      </x:c>
      <x:c r="B266" s="47" t="str">
        <x:v>海鮮/魚類</x:v>
      </x:c>
      <x:c r="C266" s="47" t="str">
        <x:v>魚皮（熟）</x:v>
      </x:c>
      <x:c r="D266" s="47" t="str">
        <x:v>熟/可食部</x:v>
      </x:c>
      <x:c r="E266" s="48" t="n">
        <x:v>210</x:v>
      </x:c>
      <x:c r="F266" s="48" t="n">
        <x:v>28</x:v>
      </x:c>
      <x:c r="G266" s="48" t="n">
        <x:v>10</x:v>
      </x:c>
      <x:c r="H266" s="48" t="n">
        <x:v>0</x:v>
      </x:c>
      <x:c r="I266" s="49" t="n">
        <x:v>80</x:v>
      </x:c>
      <x:c r="J266" s="47" t="str">
        <x:v>USDA FDC / Taiwan FDA / estimate</x:v>
      </x:c>
      <x:c r="K266" s="47" t="str">
        <x:v>膠質高，估算</x:v>
      </x:c>
      <x:c r="L266" s="47" t="str">
        <x:v>https://fdc.nal.usda.gov/ ; https://www.fda.gov.tw/tc/siteList.aspx?sid=284 ; https://consumer.fda.gov.tw/Food/TFND.aspx?nodeID=178</x:v>
      </x:c>
    </x:row>
    <x:row r="267">
      <x:c r="A267" s="47" t="str">
        <x:v>SF059</x:v>
      </x:c>
      <x:c r="B267" s="47" t="str">
        <x:v>海鮮/魚類</x:v>
      </x:c>
      <x:c r="C267" s="47" t="str">
        <x:v>鱈魚肝</x:v>
      </x:c>
      <x:c r="D267" s="47" t="str">
        <x:v>可食部</x:v>
      </x:c>
      <x:c r="E267" s="48" t="n">
        <x:v>420</x:v>
      </x:c>
      <x:c r="F267" s="48" t="n">
        <x:v>5</x:v>
      </x:c>
      <x:c r="G267" s="48" t="n">
        <x:v>44</x:v>
      </x:c>
      <x:c r="H267" s="48" t="n">
        <x:v>1</x:v>
      </x:c>
      <x:c r="I267" s="49" t="n">
        <x:v>600</x:v>
      </x:c>
      <x:c r="J267" s="47" t="str">
        <x:v>USDA FDC / Taiwan FDA / estimate</x:v>
      </x:c>
      <x:c r="K267" s="47" t="str">
        <x:v>高脂，若罐頭需看標示</x:v>
      </x:c>
      <x:c r="L267" s="47" t="str">
        <x:v>https://fdc.nal.usda.gov/ ; https://www.fda.gov.tw/tc/siteList.aspx?sid=284 ; https://consumer.fda.gov.tw/Food/TFND.aspx?nodeID=178</x:v>
      </x:c>
    </x:row>
    <x:row r="268">
      <x:c r="A268" s="47" t="str">
        <x:v>SF060</x:v>
      </x:c>
      <x:c r="B268" s="47" t="str">
        <x:v>海鮮/魚類</x:v>
      </x:c>
      <x:c r="C268" s="47" t="str">
        <x:v>鯊魚煙</x:v>
      </x:c>
      <x:c r="D268" s="47" t="str">
        <x:v>可食部</x:v>
      </x:c>
      <x:c r="E268" s="48" t="n">
        <x:v>150</x:v>
      </x:c>
      <x:c r="F268" s="48" t="n">
        <x:v>25</x:v>
      </x:c>
      <x:c r="G268" s="48" t="n">
        <x:v>5</x:v>
      </x:c>
      <x:c r="H268" s="48" t="n">
        <x:v>0</x:v>
      </x:c>
      <x:c r="I268" s="49" t="n">
        <x:v>800</x:v>
      </x:c>
      <x:c r="J268" s="47" t="str">
        <x:v>USDA FDC / Taiwan FDA / estimate</x:v>
      </x:c>
      <x:c r="K268" s="47" t="str">
        <x:v>加工品，鈉高</x:v>
      </x:c>
      <x:c r="L268" s="47" t="str">
        <x:v>https://fdc.nal.usda.gov/ ; https://www.fda.gov.tw/tc/siteList.aspx?sid=284 ; https://consumer.fda.gov.tw/Food/TFND.aspx?nodeID=178</x:v>
      </x:c>
    </x:row>
    <x:row r="269">
      <x:c r="A269" s="47" t="str">
        <x:v>SF061</x:v>
      </x:c>
      <x:c r="B269" s="47" t="str">
        <x:v>海鮮/魚類</x:v>
      </x:c>
      <x:c r="C269" s="47" t="str">
        <x:v>旗魚（熟）</x:v>
      </x:c>
      <x:c r="D269" s="47" t="str">
        <x:v>熟/可食部</x:v>
      </x:c>
      <x:c r="E269" s="48" t="n">
        <x:v>172</x:v>
      </x:c>
      <x:c r="F269" s="48" t="n">
        <x:v>23</x:v>
      </x:c>
      <x:c r="G269" s="48" t="n">
        <x:v>8</x:v>
      </x:c>
      <x:c r="H269" s="48" t="n">
        <x:v>0</x:v>
      </x:c>
      <x:c r="I269" s="49" t="n">
        <x:v>90</x:v>
      </x:c>
      <x:c r="J269" s="47" t="str">
        <x:v>USDA FDC / Taiwan FDA / estimate</x:v>
      </x:c>
      <x:c r="K269" s="47"/>
      <x:c r="L269" s="47" t="str">
        <x:v>https://fdc.nal.usda.gov/ ; https://www.fda.gov.tw/tc/siteList.aspx?sid=284 ; https://consumer.fda.gov.tw/Food/TFND.aspx?nodeID=178</x:v>
      </x:c>
    </x:row>
    <x:row r="270">
      <x:c r="A270" s="47" t="str">
        <x:v>SF062</x:v>
      </x:c>
      <x:c r="B270" s="47" t="str">
        <x:v>海鮮/魚類</x:v>
      </x:c>
      <x:c r="C270" s="47" t="str">
        <x:v>鬼頭刀（熟）</x:v>
      </x:c>
      <x:c r="D270" s="47" t="str">
        <x:v>熟/可食部</x:v>
      </x:c>
      <x:c r="E270" s="48" t="n">
        <x:v>109</x:v>
      </x:c>
      <x:c r="F270" s="48" t="n">
        <x:v>24</x:v>
      </x:c>
      <x:c r="G270" s="48" t="n">
        <x:v>1</x:v>
      </x:c>
      <x:c r="H270" s="48" t="n">
        <x:v>0</x:v>
      </x:c>
      <x:c r="I270" s="49" t="n">
        <x:v>75</x:v>
      </x:c>
      <x:c r="J270" s="47" t="str">
        <x:v>USDA FDC / Taiwan FDA / estimate</x:v>
      </x:c>
      <x:c r="K270" s="47"/>
      <x:c r="L270" s="47" t="str">
        <x:v>https://fdc.nal.usda.gov/ ; https://www.fda.gov.tw/tc/siteList.aspx?sid=284 ; https://consumer.fda.gov.tw/Food/TFND.aspx?nodeID=178</x:v>
      </x:c>
    </x:row>
    <x:row r="271">
      <x:c r="A271" s="47" t="str">
        <x:v>SF063</x:v>
      </x:c>
      <x:c r="B271" s="47" t="str">
        <x:v>海鮮/魚類</x:v>
      </x:c>
      <x:c r="C271" s="47" t="str">
        <x:v>白帶魚（熟）</x:v>
      </x:c>
      <x:c r="D271" s="47" t="str">
        <x:v>熟/可食部</x:v>
      </x:c>
      <x:c r="E271" s="48" t="n">
        <x:v>180</x:v>
      </x:c>
      <x:c r="F271" s="48" t="n">
        <x:v>23</x:v>
      </x:c>
      <x:c r="G271" s="48" t="n">
        <x:v>9</x:v>
      </x:c>
      <x:c r="H271" s="48" t="n">
        <x:v>0</x:v>
      </x:c>
      <x:c r="I271" s="49" t="n">
        <x:v>70</x:v>
      </x:c>
      <x:c r="J271" s="47" t="str">
        <x:v>USDA FDC / Taiwan FDA / estimate</x:v>
      </x:c>
      <x:c r="K271" s="47"/>
      <x:c r="L271" s="47" t="str">
        <x:v>https://fdc.nal.usda.gov/ ; https://www.fda.gov.tw/tc/siteList.aspx?sid=284 ; https://consumer.fda.gov.tw/Food/TFND.aspx?nodeID=178</x:v>
      </x:c>
    </x:row>
    <x:row r="272">
      <x:c r="A272" s="47" t="str">
        <x:v>SF064</x:v>
      </x:c>
      <x:c r="B272" s="47" t="str">
        <x:v>海鮮/魚類</x:v>
      </x:c>
      <x:c r="C272" s="47" t="str">
        <x:v>龍膽石斑（熟）</x:v>
      </x:c>
      <x:c r="D272" s="47" t="str">
        <x:v>熟/可食部</x:v>
      </x:c>
      <x:c r="E272" s="48" t="n">
        <x:v>125</x:v>
      </x:c>
      <x:c r="F272" s="48" t="n">
        <x:v>24</x:v>
      </x:c>
      <x:c r="G272" s="48" t="n">
        <x:v>3</x:v>
      </x:c>
      <x:c r="H272" s="48" t="n">
        <x:v>0</x:v>
      </x:c>
      <x:c r="I272" s="49" t="n">
        <x:v>70</x:v>
      </x:c>
      <x:c r="J272" s="47" t="str">
        <x:v>USDA FDC / Taiwan FDA / estimate</x:v>
      </x:c>
      <x:c r="K272" s="47"/>
      <x:c r="L272" s="47" t="str">
        <x:v>https://fdc.nal.usda.gov/ ; https://www.fda.gov.tw/tc/siteList.aspx?sid=284 ; https://consumer.fda.gov.tw/Food/TFND.aspx?nodeID=178</x:v>
      </x:c>
    </x:row>
    <x:row r="273">
      <x:c r="A273" s="47" t="str">
        <x:v>SF065</x:v>
      </x:c>
      <x:c r="B273" s="47" t="str">
        <x:v>海鮮/魚類</x:v>
      </x:c>
      <x:c r="C273" s="47" t="str">
        <x:v>香魚（熟）</x:v>
      </x:c>
      <x:c r="D273" s="47" t="str">
        <x:v>熟/可食部</x:v>
      </x:c>
      <x:c r="E273" s="48" t="n">
        <x:v>150</x:v>
      </x:c>
      <x:c r="F273" s="48" t="n">
        <x:v>21</x:v>
      </x:c>
      <x:c r="G273" s="48" t="n">
        <x:v>7</x:v>
      </x:c>
      <x:c r="H273" s="48" t="n">
        <x:v>0</x:v>
      </x:c>
      <x:c r="I273" s="49" t="n">
        <x:v>65</x:v>
      </x:c>
      <x:c r="J273" s="47" t="str">
        <x:v>USDA FDC / Taiwan FDA / estimate</x:v>
      </x:c>
      <x:c r="K273" s="47"/>
      <x:c r="L273" s="47" t="str">
        <x:v>https://fdc.nal.usda.gov/ ; https://www.fda.gov.tw/tc/siteList.aspx?sid=284 ; https://consumer.fda.gov.tw/Food/TFND.aspx?nodeID=178</x:v>
      </x:c>
    </x:row>
    <x:row r="274">
      <x:c r="A274" s="47" t="str">
        <x:v>SO008</x:v>
      </x:c>
      <x:c r="B274" s="47" t="str">
        <x:v>豆類/植物蛋白</x:v>
      </x:c>
      <x:c r="C274" s="47" t="str">
        <x:v>硬豆腐</x:v>
      </x:c>
      <x:c r="D274" s="47" t="str">
        <x:v>可食部</x:v>
      </x:c>
      <x:c r="E274" s="48" t="n">
        <x:v>83</x:v>
      </x:c>
      <x:c r="F274" s="48" t="n">
        <x:v>10</x:v>
      </x:c>
      <x:c r="G274" s="48" t="n">
        <x:v>5.3</x:v>
      </x:c>
      <x:c r="H274" s="48" t="n">
        <x:v>1.2</x:v>
      </x:c>
      <x:c r="I274" s="49" t="n">
        <x:v>10</x:v>
      </x:c>
      <x:c r="J274" s="47" t="str">
        <x:v>USDA FDC / Taiwan FDA / estimate</x:v>
      </x:c>
      <x:c r="K274" s="47"/>
      <x:c r="L274" s="47" t="str">
        <x:v>https://fdc.nal.usda.gov/ ; https://www.fda.gov.tw/tc/siteList.aspx?sid=284 ; https://consumer.fda.gov.tw/Food/TFND.aspx?nodeID=178</x:v>
      </x:c>
    </x:row>
    <x:row r="275">
      <x:c r="A275" s="47" t="str">
        <x:v>SO009</x:v>
      </x:c>
      <x:c r="B275" s="47" t="str">
        <x:v>豆類/植物蛋白</x:v>
      </x:c>
      <x:c r="C275" s="47" t="str">
        <x:v>傳統豆腐</x:v>
      </x:c>
      <x:c r="D275" s="47" t="str">
        <x:v>可食部</x:v>
      </x:c>
      <x:c r="E275" s="48" t="n">
        <x:v>76</x:v>
      </x:c>
      <x:c r="F275" s="48" t="n">
        <x:v>8.1</x:v>
      </x:c>
      <x:c r="G275" s="48" t="n">
        <x:v>4.8</x:v>
      </x:c>
      <x:c r="H275" s="48" t="n">
        <x:v>1.9</x:v>
      </x:c>
      <x:c r="I275" s="49" t="n">
        <x:v>7</x:v>
      </x:c>
      <x:c r="J275" s="47" t="str">
        <x:v>USDA FDC / Taiwan FDA / estimate</x:v>
      </x:c>
      <x:c r="K275" s="47"/>
      <x:c r="L275" s="47" t="str">
        <x:v>https://fdc.nal.usda.gov/ ; https://www.fda.gov.tw/tc/siteList.aspx?sid=284 ; https://consumer.fda.gov.tw/Food/TFND.aspx?nodeID=178</x:v>
      </x:c>
    </x:row>
    <x:row r="276">
      <x:c r="A276" s="47" t="str">
        <x:v>SO010</x:v>
      </x:c>
      <x:c r="B276" s="47" t="str">
        <x:v>豆類/植物蛋白</x:v>
      </x:c>
      <x:c r="C276" s="47" t="str">
        <x:v>凍豆腐</x:v>
      </x:c>
      <x:c r="D276" s="47" t="str">
        <x:v>可食部</x:v>
      </x:c>
      <x:c r="E276" s="48" t="n">
        <x:v>82</x:v>
      </x:c>
      <x:c r="F276" s="48" t="n">
        <x:v>8</x:v>
      </x:c>
      <x:c r="G276" s="48" t="n">
        <x:v>4.5</x:v>
      </x:c>
      <x:c r="H276" s="48" t="n">
        <x:v>2</x:v>
      </x:c>
      <x:c r="I276" s="49" t="n">
        <x:v>15</x:v>
      </x:c>
      <x:c r="J276" s="47" t="str">
        <x:v>USDA FDC / Taiwan FDA / estimate</x:v>
      </x:c>
      <x:c r="K276" s="47" t="str">
        <x:v>含水差異大</x:v>
      </x:c>
      <x:c r="L276" s="47" t="str">
        <x:v>https://fdc.nal.usda.gov/ ; https://www.fda.gov.tw/tc/siteList.aspx?sid=284 ; https://consumer.fda.gov.tw/Food/TFND.aspx?nodeID=178</x:v>
      </x:c>
    </x:row>
    <x:row r="277">
      <x:c r="A277" s="47" t="str">
        <x:v>SO011</x:v>
      </x:c>
      <x:c r="B277" s="47" t="str">
        <x:v>豆類/植物蛋白</x:v>
      </x:c>
      <x:c r="C277" s="47" t="str">
        <x:v>豆包（非油炸）</x:v>
      </x:c>
      <x:c r="D277" s="47" t="str">
        <x:v>可食部</x:v>
      </x:c>
      <x:c r="E277" s="48" t="n">
        <x:v>180</x:v>
      </x:c>
      <x:c r="F277" s="48" t="n">
        <x:v>17</x:v>
      </x:c>
      <x:c r="G277" s="48" t="n">
        <x:v>11</x:v>
      </x:c>
      <x:c r="H277" s="48" t="n">
        <x:v>5</x:v>
      </x:c>
      <x:c r="I277" s="49" t="n">
        <x:v>20</x:v>
      </x:c>
      <x:c r="J277" s="47" t="str">
        <x:v>USDA FDC / Taiwan FDA / estimate</x:v>
      </x:c>
      <x:c r="K277" s="47" t="str">
        <x:v>不同製法差異大</x:v>
      </x:c>
      <x:c r="L277" s="47" t="str">
        <x:v>https://fdc.nal.usda.gov/ ; https://www.fda.gov.tw/tc/siteList.aspx?sid=284 ; https://consumer.fda.gov.tw/Food/TFND.aspx?nodeID=178</x:v>
      </x:c>
    </x:row>
    <x:row r="278">
      <x:c r="A278" s="47" t="str">
        <x:v>SO012</x:v>
      </x:c>
      <x:c r="B278" s="47" t="str">
        <x:v>豆類/植物蛋白</x:v>
      </x:c>
      <x:c r="C278" s="47" t="str">
        <x:v>豆皮（生）</x:v>
      </x:c>
      <x:c r="D278" s="47" t="str">
        <x:v>可食部</x:v>
      </x:c>
      <x:c r="E278" s="48" t="n">
        <x:v>210</x:v>
      </x:c>
      <x:c r="F278" s="48" t="n">
        <x:v>20</x:v>
      </x:c>
      <x:c r="G278" s="48" t="n">
        <x:v>13</x:v>
      </x:c>
      <x:c r="H278" s="48" t="n">
        <x:v>6</x:v>
      </x:c>
      <x:c r="I278" s="49" t="n">
        <x:v>30</x:v>
      </x:c>
      <x:c r="J278" s="47" t="str">
        <x:v>USDA FDC / Taiwan FDA / estimate</x:v>
      </x:c>
      <x:c r="K278" s="47" t="str">
        <x:v>不同製法差異大</x:v>
      </x:c>
      <x:c r="L278" s="47" t="str">
        <x:v>https://fdc.nal.usda.gov/ ; https://www.fda.gov.tw/tc/siteList.aspx?sid=284 ; https://consumer.fda.gov.tw/Food/TFND.aspx?nodeID=178</x:v>
      </x:c>
    </x:row>
    <x:row r="279">
      <x:c r="A279" s="47" t="str">
        <x:v>SO013</x:v>
      </x:c>
      <x:c r="B279" s="47" t="str">
        <x:v>豆類/植物蛋白</x:v>
      </x:c>
      <x:c r="C279" s="47" t="str">
        <x:v>豆干</x:v>
      </x:c>
      <x:c r="D279" s="47" t="str">
        <x:v>可食部</x:v>
      </x:c>
      <x:c r="E279" s="48" t="n">
        <x:v>160</x:v>
      </x:c>
      <x:c r="F279" s="48" t="n">
        <x:v>16</x:v>
      </x:c>
      <x:c r="G279" s="48" t="n">
        <x:v>9</x:v>
      </x:c>
      <x:c r="H279" s="48" t="n">
        <x:v>5</x:v>
      </x:c>
      <x:c r="I279" s="49" t="n">
        <x:v>350</x:v>
      </x:c>
      <x:c r="J279" s="47" t="str">
        <x:v>USDA FDC / Taiwan FDA / estimate</x:v>
      </x:c>
      <x:c r="K279" s="47" t="str">
        <x:v>多數有調味/鈉高，需品牌校正</x:v>
      </x:c>
      <x:c r="L279" s="47" t="str">
        <x:v>https://fdc.nal.usda.gov/ ; https://www.fda.gov.tw/tc/siteList.aspx?sid=284 ; https://consumer.fda.gov.tw/Food/TFND.aspx?nodeID=178</x:v>
      </x:c>
    </x:row>
    <x:row r="280">
      <x:c r="A280" s="47" t="str">
        <x:v>SO014</x:v>
      </x:c>
      <x:c r="B280" s="47" t="str">
        <x:v>豆類/植物蛋白</x:v>
      </x:c>
      <x:c r="C280" s="47" t="str">
        <x:v>五香豆干</x:v>
      </x:c>
      <x:c r="D280" s="47" t="str">
        <x:v>可食部</x:v>
      </x:c>
      <x:c r="E280" s="48" t="n">
        <x:v>180</x:v>
      </x:c>
      <x:c r="F280" s="48" t="n">
        <x:v>17</x:v>
      </x:c>
      <x:c r="G280" s="48" t="n">
        <x:v>10</x:v>
      </x:c>
      <x:c r="H280" s="48" t="n">
        <x:v>6</x:v>
      </x:c>
      <x:c r="I280" s="49" t="n">
        <x:v>600</x:v>
      </x:c>
      <x:c r="J280" s="47" t="str">
        <x:v>USDA FDC / Taiwan FDA / estimate</x:v>
      </x:c>
      <x:c r="K280" s="47" t="str">
        <x:v>加工調味，鈉高</x:v>
      </x:c>
      <x:c r="L280" s="47" t="str">
        <x:v>https://fdc.nal.usda.gov/ ; https://www.fda.gov.tw/tc/siteList.aspx?sid=284 ; https://consumer.fda.gov.tw/Food/TFND.aspx?nodeID=178</x:v>
      </x:c>
    </x:row>
    <x:row r="281">
      <x:c r="A281" s="47" t="str">
        <x:v>SO015</x:v>
      </x:c>
      <x:c r="B281" s="47" t="str">
        <x:v>豆類/植物蛋白</x:v>
      </x:c>
      <x:c r="C281" s="47" t="str">
        <x:v>百頁豆腐</x:v>
      </x:c>
      <x:c r="D281" s="47" t="str">
        <x:v>可食部</x:v>
      </x:c>
      <x:c r="E281" s="48" t="n">
        <x:v>200</x:v>
      </x:c>
      <x:c r="F281" s="48" t="n">
        <x:v>9</x:v>
      </x:c>
      <x:c r="G281" s="48" t="n">
        <x:v>16</x:v>
      </x:c>
      <x:c r="H281" s="48" t="n">
        <x:v>5</x:v>
      </x:c>
      <x:c r="I281" s="49" t="n">
        <x:v>500</x:v>
      </x:c>
      <x:c r="J281" s="47" t="str">
        <x:v>USDA FDC / Taiwan FDA / estimate</x:v>
      </x:c>
      <x:c r="K281" s="47" t="str">
        <x:v>加工品，品牌差異極大</x:v>
      </x:c>
      <x:c r="L281" s="47" t="str">
        <x:v>https://fdc.nal.usda.gov/ ; https://www.fda.gov.tw/tc/siteList.aspx?sid=284 ; https://consumer.fda.gov.tw/Food/TFND.aspx?nodeID=178</x:v>
      </x:c>
    </x:row>
    <x:row r="282">
      <x:c r="A282" s="47" t="str">
        <x:v>SO016</x:v>
      </x:c>
      <x:c r="B282" s="47" t="str">
        <x:v>豆類/植物蛋白</x:v>
      </x:c>
      <x:c r="C282" s="47" t="str">
        <x:v>黃豆（乾）</x:v>
      </x:c>
      <x:c r="D282" s="47" t="str">
        <x:v>乾/可食部</x:v>
      </x:c>
      <x:c r="E282" s="48" t="n">
        <x:v>446</x:v>
      </x:c>
      <x:c r="F282" s="48" t="n">
        <x:v>36.5</x:v>
      </x:c>
      <x:c r="G282" s="48" t="n">
        <x:v>19.9</x:v>
      </x:c>
      <x:c r="H282" s="48" t="n">
        <x:v>30.2</x:v>
      </x:c>
      <x:c r="I282" s="49" t="n">
        <x:v>2</x:v>
      </x:c>
      <x:c r="J282" s="47" t="str">
        <x:v>USDA FDC / Taiwan FDA / estimate</x:v>
      </x:c>
      <x:c r="K282" s="47" t="str">
        <x:v>乾重</x:v>
      </x:c>
      <x:c r="L282" s="47" t="str">
        <x:v>https://fdc.nal.usda.gov/ ; https://www.fda.gov.tw/tc/siteList.aspx?sid=284 ; https://consumer.fda.gov.tw/Food/TFND.aspx?nodeID=178</x:v>
      </x:c>
    </x:row>
    <x:row r="283">
      <x:c r="A283" s="47" t="str">
        <x:v>SO017</x:v>
      </x:c>
      <x:c r="B283" s="47" t="str">
        <x:v>豆類/植物蛋白</x:v>
      </x:c>
      <x:c r="C283" s="47" t="str">
        <x:v>黑豆（乾）</x:v>
      </x:c>
      <x:c r="D283" s="47" t="str">
        <x:v>乾/可食部</x:v>
      </x:c>
      <x:c r="E283" s="48" t="n">
        <x:v>341</x:v>
      </x:c>
      <x:c r="F283" s="48" t="n">
        <x:v>21.6</x:v>
      </x:c>
      <x:c r="G283" s="48" t="n">
        <x:v>1.4</x:v>
      </x:c>
      <x:c r="H283" s="48" t="n">
        <x:v>62.4</x:v>
      </x:c>
      <x:c r="I283" s="49" t="n">
        <x:v>5</x:v>
      </x:c>
      <x:c r="J283" s="47" t="str">
        <x:v>USDA FDC / Taiwan FDA / estimate</x:v>
      </x:c>
      <x:c r="K283" s="47" t="str">
        <x:v>乾重</x:v>
      </x:c>
      <x:c r="L283" s="47" t="str">
        <x:v>https://fdc.nal.usda.gov/ ; https://www.fda.gov.tw/tc/siteList.aspx?sid=284 ; https://consumer.fda.gov.tw/Food/TFND.aspx?nodeID=178</x:v>
      </x:c>
    </x:row>
    <x:row r="284">
      <x:c r="A284" s="47" t="str">
        <x:v>SO018</x:v>
      </x:c>
      <x:c r="B284" s="47" t="str">
        <x:v>豆類/植物蛋白</x:v>
      </x:c>
      <x:c r="C284" s="47" t="str">
        <x:v>紅豆（熟）</x:v>
      </x:c>
      <x:c r="D284" s="47" t="str">
        <x:v>熟/可食部</x:v>
      </x:c>
      <x:c r="E284" s="48" t="n">
        <x:v>127</x:v>
      </x:c>
      <x:c r="F284" s="48" t="n">
        <x:v>8.7</x:v>
      </x:c>
      <x:c r="G284" s="48" t="n">
        <x:v>0.5</x:v>
      </x:c>
      <x:c r="H284" s="48" t="n">
        <x:v>22.8</x:v>
      </x:c>
      <x:c r="I284" s="49" t="n">
        <x:v>1</x:v>
      </x:c>
      <x:c r="J284" s="47" t="str">
        <x:v>USDA FDC / Taiwan FDA / estimate</x:v>
      </x:c>
      <x:c r="K284" s="47"/>
      <x:c r="L284" s="47" t="str">
        <x:v>https://fdc.nal.usda.gov/ ; https://www.fda.gov.tw/tc/siteList.aspx?sid=284 ; https://consumer.fda.gov.tw/Food/TFND.aspx?nodeID=178</x:v>
      </x:c>
    </x:row>
    <x:row r="285">
      <x:c r="A285" s="47" t="str">
        <x:v>SO019</x:v>
      </x:c>
      <x:c r="B285" s="47" t="str">
        <x:v>豆類/植物蛋白</x:v>
      </x:c>
      <x:c r="C285" s="47" t="str">
        <x:v>紅豆（乾）</x:v>
      </x:c>
      <x:c r="D285" s="47" t="str">
        <x:v>乾/可食部</x:v>
      </x:c>
      <x:c r="E285" s="48" t="n">
        <x:v>329</x:v>
      </x:c>
      <x:c r="F285" s="48" t="n">
        <x:v>19.9</x:v>
      </x:c>
      <x:c r="G285" s="48" t="n">
        <x:v>0.5</x:v>
      </x:c>
      <x:c r="H285" s="48" t="n">
        <x:v>62.9</x:v>
      </x:c>
      <x:c r="I285" s="49" t="n">
        <x:v>5</x:v>
      </x:c>
      <x:c r="J285" s="47" t="str">
        <x:v>USDA FDC / Taiwan FDA / estimate</x:v>
      </x:c>
      <x:c r="K285" s="47" t="str">
        <x:v>乾重</x:v>
      </x:c>
      <x:c r="L285" s="47" t="str">
        <x:v>https://fdc.nal.usda.gov/ ; https://www.fda.gov.tw/tc/siteList.aspx?sid=284 ; https://consumer.fda.gov.tw/Food/TFND.aspx?nodeID=178</x:v>
      </x:c>
    </x:row>
    <x:row r="286">
      <x:c r="A286" s="47" t="str">
        <x:v>SO020</x:v>
      </x:c>
      <x:c r="B286" s="47" t="str">
        <x:v>豆類/植物蛋白</x:v>
      </x:c>
      <x:c r="C286" s="47" t="str">
        <x:v>綠豆（熟）</x:v>
      </x:c>
      <x:c r="D286" s="47" t="str">
        <x:v>熟/可食部</x:v>
      </x:c>
      <x:c r="E286" s="48" t="n">
        <x:v>105</x:v>
      </x:c>
      <x:c r="F286" s="48" t="n">
        <x:v>7</x:v>
      </x:c>
      <x:c r="G286" s="48" t="n">
        <x:v>0.4</x:v>
      </x:c>
      <x:c r="H286" s="48" t="n">
        <x:v>19.2</x:v>
      </x:c>
      <x:c r="I286" s="49" t="n">
        <x:v>1</x:v>
      </x:c>
      <x:c r="J286" s="47" t="str">
        <x:v>USDA FDC / Taiwan FDA / estimate</x:v>
      </x:c>
      <x:c r="K286" s="47"/>
      <x:c r="L286" s="47" t="str">
        <x:v>https://fdc.nal.usda.gov/ ; https://www.fda.gov.tw/tc/siteList.aspx?sid=284 ; https://consumer.fda.gov.tw/Food/TFND.aspx?nodeID=178</x:v>
      </x:c>
    </x:row>
    <x:row r="287">
      <x:c r="A287" s="47" t="str">
        <x:v>SO021</x:v>
      </x:c>
      <x:c r="B287" s="47" t="str">
        <x:v>豆類/植物蛋白</x:v>
      </x:c>
      <x:c r="C287" s="47" t="str">
        <x:v>綠豆（乾）</x:v>
      </x:c>
      <x:c r="D287" s="47" t="str">
        <x:v>乾/可食部</x:v>
      </x:c>
      <x:c r="E287" s="48" t="n">
        <x:v>347</x:v>
      </x:c>
      <x:c r="F287" s="48" t="n">
        <x:v>23.9</x:v>
      </x:c>
      <x:c r="G287" s="48" t="n">
        <x:v>1.2</x:v>
      </x:c>
      <x:c r="H287" s="48" t="n">
        <x:v>62.6</x:v>
      </x:c>
      <x:c r="I287" s="49" t="n">
        <x:v>15</x:v>
      </x:c>
      <x:c r="J287" s="47" t="str">
        <x:v>USDA FDC / Taiwan FDA / estimate</x:v>
      </x:c>
      <x:c r="K287" s="47" t="str">
        <x:v>乾重</x:v>
      </x:c>
      <x:c r="L287" s="47" t="str">
        <x:v>https://fdc.nal.usda.gov/ ; https://www.fda.gov.tw/tc/siteList.aspx?sid=284 ; https://consumer.fda.gov.tw/Food/TFND.aspx?nodeID=178</x:v>
      </x:c>
    </x:row>
    <x:row r="288">
      <x:c r="A288" s="47" t="str">
        <x:v>SO022</x:v>
      </x:c>
      <x:c r="B288" s="47" t="str">
        <x:v>豆類/植物蛋白</x:v>
      </x:c>
      <x:c r="C288" s="47" t="str">
        <x:v>鷹嘴豆（熟）</x:v>
      </x:c>
      <x:c r="D288" s="47" t="str">
        <x:v>熟/可食部</x:v>
      </x:c>
      <x:c r="E288" s="48" t="n">
        <x:v>164</x:v>
      </x:c>
      <x:c r="F288" s="48" t="n">
        <x:v>8.9</x:v>
      </x:c>
      <x:c r="G288" s="48" t="n">
        <x:v>2.6</x:v>
      </x:c>
      <x:c r="H288" s="48" t="n">
        <x:v>27.4</x:v>
      </x:c>
      <x:c r="I288" s="49" t="n">
        <x:v>7</x:v>
      </x:c>
      <x:c r="J288" s="47" t="str">
        <x:v>USDA FDC / Taiwan FDA / estimate</x:v>
      </x:c>
      <x:c r="K288" s="47"/>
      <x:c r="L288" s="47" t="str">
        <x:v>https://fdc.nal.usda.gov/ ; https://www.fda.gov.tw/tc/siteList.aspx?sid=284 ; https://consumer.fda.gov.tw/Food/TFND.aspx?nodeID=178</x:v>
      </x:c>
    </x:row>
    <x:row r="289">
      <x:c r="A289" s="47" t="str">
        <x:v>SO023</x:v>
      </x:c>
      <x:c r="B289" s="47" t="str">
        <x:v>豆類/植物蛋白</x:v>
      </x:c>
      <x:c r="C289" s="47" t="str">
        <x:v>鷹嘴豆（乾）</x:v>
      </x:c>
      <x:c r="D289" s="47" t="str">
        <x:v>乾/可食部</x:v>
      </x:c>
      <x:c r="E289" s="48" t="n">
        <x:v>364</x:v>
      </x:c>
      <x:c r="F289" s="48" t="n">
        <x:v>19.3</x:v>
      </x:c>
      <x:c r="G289" s="48" t="n">
        <x:v>6</x:v>
      </x:c>
      <x:c r="H289" s="48" t="n">
        <x:v>60.7</x:v>
      </x:c>
      <x:c r="I289" s="49" t="n">
        <x:v>24</x:v>
      </x:c>
      <x:c r="J289" s="47" t="str">
        <x:v>USDA FDC / Taiwan FDA / estimate</x:v>
      </x:c>
      <x:c r="K289" s="47" t="str">
        <x:v>乾重</x:v>
      </x:c>
      <x:c r="L289" s="47" t="str">
        <x:v>https://fdc.nal.usda.gov/ ; https://www.fda.gov.tw/tc/siteList.aspx?sid=284 ; https://consumer.fda.gov.tw/Food/TFND.aspx?nodeID=178</x:v>
      </x:c>
    </x:row>
    <x:row r="290">
      <x:c r="A290" s="47" t="str">
        <x:v>SO024</x:v>
      </x:c>
      <x:c r="B290" s="47" t="str">
        <x:v>豆類/植物蛋白</x:v>
      </x:c>
      <x:c r="C290" s="47" t="str">
        <x:v>扁豆（熟）</x:v>
      </x:c>
      <x:c r="D290" s="47" t="str">
        <x:v>熟/可食部</x:v>
      </x:c>
      <x:c r="E290" s="48" t="n">
        <x:v>116</x:v>
      </x:c>
      <x:c r="F290" s="48" t="n">
        <x:v>9</x:v>
      </x:c>
      <x:c r="G290" s="48" t="n">
        <x:v>0.4</x:v>
      </x:c>
      <x:c r="H290" s="48" t="n">
        <x:v>20.1</x:v>
      </x:c>
      <x:c r="I290" s="49" t="n">
        <x:v>2</x:v>
      </x:c>
      <x:c r="J290" s="47" t="str">
        <x:v>USDA FDC / Taiwan FDA / estimate</x:v>
      </x:c>
      <x:c r="K290" s="47"/>
      <x:c r="L290" s="47" t="str">
        <x:v>https://fdc.nal.usda.gov/ ; https://www.fda.gov.tw/tc/siteList.aspx?sid=284 ; https://consumer.fda.gov.tw/Food/TFND.aspx?nodeID=178</x:v>
      </x:c>
    </x:row>
    <x:row r="291">
      <x:c r="A291" s="47" t="str">
        <x:v>SO025</x:v>
      </x:c>
      <x:c r="B291" s="47" t="str">
        <x:v>豆類/植物蛋白</x:v>
      </x:c>
      <x:c r="C291" s="47" t="str">
        <x:v>扁豆（乾）</x:v>
      </x:c>
      <x:c r="D291" s="47" t="str">
        <x:v>乾/可食部</x:v>
      </x:c>
      <x:c r="E291" s="48" t="n">
        <x:v>352</x:v>
      </x:c>
      <x:c r="F291" s="48" t="n">
        <x:v>24.6</x:v>
      </x:c>
      <x:c r="G291" s="48" t="n">
        <x:v>1.1</x:v>
      </x:c>
      <x:c r="H291" s="48" t="n">
        <x:v>63.4</x:v>
      </x:c>
      <x:c r="I291" s="49" t="n">
        <x:v>6</x:v>
      </x:c>
      <x:c r="J291" s="47" t="str">
        <x:v>USDA FDC / Taiwan FDA / estimate</x:v>
      </x:c>
      <x:c r="K291" s="47" t="str">
        <x:v>乾重</x:v>
      </x:c>
      <x:c r="L291" s="47" t="str">
        <x:v>https://fdc.nal.usda.gov/ ; https://www.fda.gov.tw/tc/siteList.aspx?sid=284 ; https://consumer.fda.gov.tw/Food/TFND.aspx?nodeID=178</x:v>
      </x:c>
    </x:row>
    <x:row r="292">
      <x:c r="A292" s="47" t="str">
        <x:v>SO026</x:v>
      </x:c>
      <x:c r="B292" s="47" t="str">
        <x:v>豆類/植物蛋白</x:v>
      </x:c>
      <x:c r="C292" s="47" t="str">
        <x:v>花豆/腎豆（熟）</x:v>
      </x:c>
      <x:c r="D292" s="47" t="str">
        <x:v>熟/可食部</x:v>
      </x:c>
      <x:c r="E292" s="48" t="n">
        <x:v>127</x:v>
      </x:c>
      <x:c r="F292" s="48" t="n">
        <x:v>8.7</x:v>
      </x:c>
      <x:c r="G292" s="48" t="n">
        <x:v>0.5</x:v>
      </x:c>
      <x:c r="H292" s="48" t="n">
        <x:v>22.8</x:v>
      </x:c>
      <x:c r="I292" s="49" t="n">
        <x:v>1</x:v>
      </x:c>
      <x:c r="J292" s="47" t="str">
        <x:v>USDA FDC / Taiwan FDA / estimate</x:v>
      </x:c>
      <x:c r="K292" s="47"/>
      <x:c r="L292" s="47" t="str">
        <x:v>https://fdc.nal.usda.gov/ ; https://www.fda.gov.tw/tc/siteList.aspx?sid=284 ; https://consumer.fda.gov.tw/Food/TFND.aspx?nodeID=178</x:v>
      </x:c>
    </x:row>
    <x:row r="293">
      <x:c r="A293" s="47" t="str">
        <x:v>SO027</x:v>
      </x:c>
      <x:c r="B293" s="47" t="str">
        <x:v>豆類/植物蛋白</x:v>
      </x:c>
      <x:c r="C293" s="47" t="str">
        <x:v>花豆/腎豆（乾）</x:v>
      </x:c>
      <x:c r="D293" s="47" t="str">
        <x:v>乾/可食部</x:v>
      </x:c>
      <x:c r="E293" s="48" t="n">
        <x:v>333</x:v>
      </x:c>
      <x:c r="F293" s="48" t="n">
        <x:v>23.6</x:v>
      </x:c>
      <x:c r="G293" s="48" t="n">
        <x:v>0.8</x:v>
      </x:c>
      <x:c r="H293" s="48" t="n">
        <x:v>60</x:v>
      </x:c>
      <x:c r="I293" s="49" t="n">
        <x:v>12</x:v>
      </x:c>
      <x:c r="J293" s="47" t="str">
        <x:v>USDA FDC / Taiwan FDA / estimate</x:v>
      </x:c>
      <x:c r="K293" s="47" t="str">
        <x:v>乾重</x:v>
      </x:c>
      <x:c r="L293" s="47" t="str">
        <x:v>https://fdc.nal.usda.gov/ ; https://www.fda.gov.tw/tc/siteList.aspx?sid=284 ; https://consumer.fda.gov.tw/Food/TFND.aspx?nodeID=178</x:v>
      </x:c>
    </x:row>
    <x:row r="294">
      <x:c r="A294" s="47" t="str">
        <x:v>SO028</x:v>
      </x:c>
      <x:c r="B294" s="47" t="str">
        <x:v>豆類/植物蛋白</x:v>
      </x:c>
      <x:c r="C294" s="47" t="str">
        <x:v>白腰豆（熟）</x:v>
      </x:c>
      <x:c r="D294" s="47" t="str">
        <x:v>熟/可食部</x:v>
      </x:c>
      <x:c r="E294" s="48" t="n">
        <x:v>140</x:v>
      </x:c>
      <x:c r="F294" s="48" t="n">
        <x:v>8.2</x:v>
      </x:c>
      <x:c r="G294" s="48" t="n">
        <x:v>0.6</x:v>
      </x:c>
      <x:c r="H294" s="48" t="n">
        <x:v>25.1</x:v>
      </x:c>
      <x:c r="I294" s="49" t="n">
        <x:v>1</x:v>
      </x:c>
      <x:c r="J294" s="47" t="str">
        <x:v>USDA FDC / Taiwan FDA / estimate</x:v>
      </x:c>
      <x:c r="K294" s="47"/>
      <x:c r="L294" s="47" t="str">
        <x:v>https://fdc.nal.usda.gov/ ; https://www.fda.gov.tw/tc/siteList.aspx?sid=284 ; https://consumer.fda.gov.tw/Food/TFND.aspx?nodeID=178</x:v>
      </x:c>
    </x:row>
    <x:row r="295">
      <x:c r="A295" s="47" t="str">
        <x:v>SO029</x:v>
      </x:c>
      <x:c r="B295" s="47" t="str">
        <x:v>豆類/植物蛋白</x:v>
      </x:c>
      <x:c r="C295" s="47" t="str">
        <x:v>斑豆（熟）</x:v>
      </x:c>
      <x:c r="D295" s="47" t="str">
        <x:v>熟/可食部</x:v>
      </x:c>
      <x:c r="E295" s="48" t="n">
        <x:v>143</x:v>
      </x:c>
      <x:c r="F295" s="48" t="n">
        <x:v>9</x:v>
      </x:c>
      <x:c r="G295" s="48" t="n">
        <x:v>0.7</x:v>
      </x:c>
      <x:c r="H295" s="48" t="n">
        <x:v>26.2</x:v>
      </x:c>
      <x:c r="I295" s="49" t="n">
        <x:v>1</x:v>
      </x:c>
      <x:c r="J295" s="47" t="str">
        <x:v>USDA FDC / Taiwan FDA / estimate</x:v>
      </x:c>
      <x:c r="K295" s="47"/>
      <x:c r="L295" s="47" t="str">
        <x:v>https://fdc.nal.usda.gov/ ; https://www.fda.gov.tw/tc/siteList.aspx?sid=284 ; https://consumer.fda.gov.tw/Food/TFND.aspx?nodeID=178</x:v>
      </x:c>
    </x:row>
    <x:row r="296">
      <x:c r="A296" s="47" t="str">
        <x:v>SO030</x:v>
      </x:c>
      <x:c r="B296" s="47" t="str">
        <x:v>豆類/植物蛋白</x:v>
      </x:c>
      <x:c r="C296" s="47" t="str">
        <x:v>豌豆仁（熟）</x:v>
      </x:c>
      <x:c r="D296" s="47" t="str">
        <x:v>熟/可食部</x:v>
      </x:c>
      <x:c r="E296" s="48" t="n">
        <x:v>84</x:v>
      </x:c>
      <x:c r="F296" s="48" t="n">
        <x:v>5.4</x:v>
      </x:c>
      <x:c r="G296" s="48" t="n">
        <x:v>0.4</x:v>
      </x:c>
      <x:c r="H296" s="48" t="n">
        <x:v>15.6</x:v>
      </x:c>
      <x:c r="I296" s="49" t="n">
        <x:v>5</x:v>
      </x:c>
      <x:c r="J296" s="47" t="str">
        <x:v>USDA FDC / Taiwan FDA / estimate</x:v>
      </x:c>
      <x:c r="K296" s="47"/>
      <x:c r="L296" s="47" t="str">
        <x:v>https://fdc.nal.usda.gov/ ; https://www.fda.gov.tw/tc/siteList.aspx?sid=284 ; https://consumer.fda.gov.tw/Food/TFND.aspx?nodeID=178</x:v>
      </x:c>
    </x:row>
    <x:row r="297">
      <x:c r="A297" s="47" t="str">
        <x:v>SO031</x:v>
      </x:c>
      <x:c r="B297" s="47" t="str">
        <x:v>豆類/植物蛋白</x:v>
      </x:c>
      <x:c r="C297" s="47" t="str">
        <x:v>豌豆莢（熟）</x:v>
      </x:c>
      <x:c r="D297" s="47" t="str">
        <x:v>熟/可食部</x:v>
      </x:c>
      <x:c r="E297" s="48" t="n">
        <x:v>42</x:v>
      </x:c>
      <x:c r="F297" s="48" t="n">
        <x:v>2.8</x:v>
      </x:c>
      <x:c r="G297" s="48" t="n">
        <x:v>0.2</x:v>
      </x:c>
      <x:c r="H297" s="48" t="n">
        <x:v>7.6</x:v>
      </x:c>
      <x:c r="I297" s="49" t="n">
        <x:v>4</x:v>
      </x:c>
      <x:c r="J297" s="47" t="str">
        <x:v>USDA FDC / Taiwan FDA / estimate</x:v>
      </x:c>
      <x:c r="K297" s="47"/>
      <x:c r="L297" s="47" t="str">
        <x:v>https://fdc.nal.usda.gov/ ; https://www.fda.gov.tw/tc/siteList.aspx?sid=284 ; https://consumer.fda.gov.tw/Food/TFND.aspx?nodeID=178</x:v>
      </x:c>
    </x:row>
    <x:row r="298">
      <x:c r="A298" s="47" t="str">
        <x:v>SO032</x:v>
      </x:c>
      <x:c r="B298" s="47" t="str">
        <x:v>豆類/植物蛋白</x:v>
      </x:c>
      <x:c r="C298" s="47" t="str">
        <x:v>蠶豆（熟）</x:v>
      </x:c>
      <x:c r="D298" s="47" t="str">
        <x:v>熟/可食部</x:v>
      </x:c>
      <x:c r="E298" s="48" t="n">
        <x:v>110</x:v>
      </x:c>
      <x:c r="F298" s="48" t="n">
        <x:v>7.6</x:v>
      </x:c>
      <x:c r="G298" s="48" t="n">
        <x:v>0.4</x:v>
      </x:c>
      <x:c r="H298" s="48" t="n">
        <x:v>19.7</x:v>
      </x:c>
      <x:c r="I298" s="49" t="n">
        <x:v>5</x:v>
      </x:c>
      <x:c r="J298" s="47" t="str">
        <x:v>USDA FDC / Taiwan FDA / estimate</x:v>
      </x:c>
      <x:c r="K298" s="47"/>
      <x:c r="L298" s="47" t="str">
        <x:v>https://fdc.nal.usda.gov/ ; https://www.fda.gov.tw/tc/siteList.aspx?sid=284 ; https://consumer.fda.gov.tw/Food/TFND.aspx?nodeID=178</x:v>
      </x:c>
    </x:row>
    <x:row r="299">
      <x:c r="A299" s="47" t="str">
        <x:v>SO033</x:v>
      </x:c>
      <x:c r="B299" s="47" t="str">
        <x:v>豆類/植物蛋白</x:v>
      </x:c>
      <x:c r="C299" s="47" t="str">
        <x:v>皇帝豆（熟）</x:v>
      </x:c>
      <x:c r="D299" s="47" t="str">
        <x:v>熟/可食部</x:v>
      </x:c>
      <x:c r="E299" s="48" t="n">
        <x:v>115</x:v>
      </x:c>
      <x:c r="F299" s="48" t="n">
        <x:v>7.8</x:v>
      </x:c>
      <x:c r="G299" s="48" t="n">
        <x:v>0.4</x:v>
      </x:c>
      <x:c r="H299" s="48" t="n">
        <x:v>20.9</x:v>
      </x:c>
      <x:c r="I299" s="49" t="n">
        <x:v>2</x:v>
      </x:c>
      <x:c r="J299" s="47" t="str">
        <x:v>USDA FDC / Taiwan FDA / estimate</x:v>
      </x:c>
      <x:c r="K299" s="47"/>
      <x:c r="L299" s="47" t="str">
        <x:v>https://fdc.nal.usda.gov/ ; https://www.fda.gov.tw/tc/siteList.aspx?sid=284 ; https://consumer.fda.gov.tw/Food/TFND.aspx?nodeID=178</x:v>
      </x:c>
    </x:row>
    <x:row r="300">
      <x:c r="A300" s="47" t="str">
        <x:v>SO034</x:v>
      </x:c>
      <x:c r="B300" s="47" t="str">
        <x:v>豆類/植物蛋白</x:v>
      </x:c>
      <x:c r="C300" s="47" t="str">
        <x:v>四季豆（熟）</x:v>
      </x:c>
      <x:c r="D300" s="47" t="str">
        <x:v>熟/可食部</x:v>
      </x:c>
      <x:c r="E300" s="48" t="n">
        <x:v>35</x:v>
      </x:c>
      <x:c r="F300" s="48" t="n">
        <x:v>1.9</x:v>
      </x:c>
      <x:c r="G300" s="48" t="n">
        <x:v>0.3</x:v>
      </x:c>
      <x:c r="H300" s="48" t="n">
        <x:v>7.9</x:v>
      </x:c>
      <x:c r="I300" s="49" t="n">
        <x:v>1</x:v>
      </x:c>
      <x:c r="J300" s="47" t="str">
        <x:v>USDA FDC / Taiwan FDA / estimate</x:v>
      </x:c>
      <x:c r="K300" s="47"/>
      <x:c r="L300" s="47" t="str">
        <x:v>https://fdc.nal.usda.gov/ ; https://www.fda.gov.tw/tc/siteList.aspx?sid=284 ; https://consumer.fda.gov.tw/Food/TFND.aspx?nodeID=178</x:v>
      </x:c>
    </x:row>
    <x:row r="301">
      <x:c r="A301" s="47" t="str">
        <x:v>SO035</x:v>
      </x:c>
      <x:c r="B301" s="47" t="str">
        <x:v>豆類/植物蛋白</x:v>
      </x:c>
      <x:c r="C301" s="47" t="str">
        <x:v>甜豆（熟）</x:v>
      </x:c>
      <x:c r="D301" s="47" t="str">
        <x:v>熟/可食部</x:v>
      </x:c>
      <x:c r="E301" s="48" t="n">
        <x:v>42</x:v>
      </x:c>
      <x:c r="F301" s="48" t="n">
        <x:v>2.8</x:v>
      </x:c>
      <x:c r="G301" s="48" t="n">
        <x:v>0.2</x:v>
      </x:c>
      <x:c r="H301" s="48" t="n">
        <x:v>7.5</x:v>
      </x:c>
      <x:c r="I301" s="49" t="n">
        <x:v>4</x:v>
      </x:c>
      <x:c r="J301" s="47" t="str">
        <x:v>USDA FDC / Taiwan FDA / estimate</x:v>
      </x:c>
      <x:c r="K301" s="47"/>
      <x:c r="L301" s="47" t="str">
        <x:v>https://fdc.nal.usda.gov/ ; https://www.fda.gov.tw/tc/siteList.aspx?sid=284 ; https://consumer.fda.gov.tw/Food/TFND.aspx?nodeID=178</x:v>
      </x:c>
    </x:row>
    <x:row r="302">
      <x:c r="A302" s="47" t="str">
        <x:v>SO036</x:v>
      </x:c>
      <x:c r="B302" s="47" t="str">
        <x:v>豆類/植物蛋白</x:v>
      </x:c>
      <x:c r="C302" s="47" t="str">
        <x:v>黃豆芽</x:v>
      </x:c>
      <x:c r="D302" s="47" t="str">
        <x:v>生/可食部</x:v>
      </x:c>
      <x:c r="E302" s="48" t="n">
        <x:v>122</x:v>
      </x:c>
      <x:c r="F302" s="48" t="n">
        <x:v>13.1</x:v>
      </x:c>
      <x:c r="G302" s="48" t="n">
        <x:v>6.7</x:v>
      </x:c>
      <x:c r="H302" s="48" t="n">
        <x:v>9.6</x:v>
      </x:c>
      <x:c r="I302" s="49" t="n">
        <x:v>14</x:v>
      </x:c>
      <x:c r="J302" s="47" t="str">
        <x:v>USDA FDC / Taiwan FDA / estimate</x:v>
      </x:c>
      <x:c r="K302" s="47"/>
      <x:c r="L302" s="47" t="str">
        <x:v>https://fdc.nal.usda.gov/ ; https://www.fda.gov.tw/tc/siteList.aspx?sid=284 ; https://consumer.fda.gov.tw/Food/TFND.aspx?nodeID=178</x:v>
      </x:c>
    </x:row>
    <x:row r="303">
      <x:c r="A303" s="47" t="str">
        <x:v>SO037</x:v>
      </x:c>
      <x:c r="B303" s="47" t="str">
        <x:v>豆類/植物蛋白</x:v>
      </x:c>
      <x:c r="C303" s="47" t="str">
        <x:v>綠豆芽</x:v>
      </x:c>
      <x:c r="D303" s="47" t="str">
        <x:v>生/可食部</x:v>
      </x:c>
      <x:c r="E303" s="48" t="n">
        <x:v>30</x:v>
      </x:c>
      <x:c r="F303" s="48" t="n">
        <x:v>3</x:v>
      </x:c>
      <x:c r="G303" s="48" t="n">
        <x:v>0.2</x:v>
      </x:c>
      <x:c r="H303" s="48" t="n">
        <x:v>5.9</x:v>
      </x:c>
      <x:c r="I303" s="49" t="n">
        <x:v>6</x:v>
      </x:c>
      <x:c r="J303" s="47" t="str">
        <x:v>USDA FDC / Taiwan FDA / estimate</x:v>
      </x:c>
      <x:c r="K303" s="47"/>
      <x:c r="L303" s="47" t="str">
        <x:v>https://fdc.nal.usda.gov/ ; https://www.fda.gov.tw/tc/siteList.aspx?sid=284 ; https://consumer.fda.gov.tw/Food/TFND.aspx?nodeID=178</x:v>
      </x:c>
    </x:row>
    <x:row r="304">
      <x:c r="A304" s="47" t="str">
        <x:v>SO038</x:v>
      </x:c>
      <x:c r="B304" s="47" t="str">
        <x:v>豆類/植物蛋白</x:v>
      </x:c>
      <x:c r="C304" s="47" t="str">
        <x:v>納豆</x:v>
      </x:c>
      <x:c r="D304" s="47" t="str">
        <x:v>可食部</x:v>
      </x:c>
      <x:c r="E304" s="48" t="n">
        <x:v>211</x:v>
      </x:c>
      <x:c r="F304" s="48" t="n">
        <x:v>19.4</x:v>
      </x:c>
      <x:c r="G304" s="48" t="n">
        <x:v>11</x:v>
      </x:c>
      <x:c r="H304" s="48" t="n">
        <x:v>12.7</x:v>
      </x:c>
      <x:c r="I304" s="49" t="n">
        <x:v>7</x:v>
      </x:c>
      <x:c r="J304" s="47" t="str">
        <x:v>USDA FDC / Taiwan FDA / estimate</x:v>
      </x:c>
      <x:c r="K304" s="47" t="str">
        <x:v>若附醬包需另計鈉</x:v>
      </x:c>
      <x:c r="L304" s="47" t="str">
        <x:v>https://fdc.nal.usda.gov/ ; https://www.fda.gov.tw/tc/siteList.aspx?sid=284 ; https://consumer.fda.gov.tw/Food/TFND.aspx?nodeID=178</x:v>
      </x:c>
    </x:row>
    <x:row r="305">
      <x:c r="A305" s="47" t="str">
        <x:v>SO039</x:v>
      </x:c>
      <x:c r="B305" s="47" t="str">
        <x:v>豆類/植物蛋白</x:v>
      </x:c>
      <x:c r="C305" s="47" t="str">
        <x:v>味噌</x:v>
      </x:c>
      <x:c r="D305" s="47" t="str">
        <x:v>可食部</x:v>
      </x:c>
      <x:c r="E305" s="48" t="n">
        <x:v>199</x:v>
      </x:c>
      <x:c r="F305" s="48" t="n">
        <x:v>12.8</x:v>
      </x:c>
      <x:c r="G305" s="48" t="n">
        <x:v>6</x:v>
      </x:c>
      <x:c r="H305" s="48" t="n">
        <x:v>26.5</x:v>
      </x:c>
      <x:c r="I305" s="49" t="n">
        <x:v>3728</x:v>
      </x:c>
      <x:c r="J305" s="47" t="str">
        <x:v>USDA FDC / Taiwan FDA / estimate</x:v>
      </x:c>
      <x:c r="K305" s="47" t="str">
        <x:v>調味用，鈉高</x:v>
      </x:c>
      <x:c r="L305" s="47" t="str">
        <x:v>https://fdc.nal.usda.gov/ ; https://www.fda.gov.tw/tc/siteList.aspx?sid=284 ; https://consumer.fda.gov.tw/Food/TFND.aspx?nodeID=178</x:v>
      </x:c>
    </x:row>
    <x:row r="306">
      <x:c r="A306" s="47" t="str">
        <x:v>SO040</x:v>
      </x:c>
      <x:c r="B306" s="47" t="str">
        <x:v>豆類/植物蛋白</x:v>
      </x:c>
      <x:c r="C306" s="47" t="str">
        <x:v>豆漿（有糖）</x:v>
      </x:c>
      <x:c r="D306" s="47" t="str">
        <x:v>液體/100ml</x:v>
      </x:c>
      <x:c r="E306" s="48" t="n">
        <x:v>54</x:v>
      </x:c>
      <x:c r="F306" s="48" t="n">
        <x:v>3</x:v>
      </x:c>
      <x:c r="G306" s="48" t="n">
        <x:v>1.6</x:v>
      </x:c>
      <x:c r="H306" s="48" t="n">
        <x:v>6.5</x:v>
      </x:c>
      <x:c r="I306" s="49" t="n">
        <x:v>40</x:v>
      </x:c>
      <x:c r="J306" s="47" t="str">
        <x:v>USDA FDC / Taiwan FDA / estimate</x:v>
      </x:c>
      <x:c r="K306" s="47" t="str">
        <x:v>品牌差異大</x:v>
      </x:c>
      <x:c r="L306" s="47" t="str">
        <x:v>https://fdc.nal.usda.gov/ ; https://www.fda.gov.tw/tc/siteList.aspx?sid=284 ; https://consumer.fda.gov.tw/Food/TFND.aspx?nodeID=178</x:v>
      </x:c>
    </x:row>
    <x:row r="307">
      <x:c r="A307" s="47" t="str">
        <x:v>SO041</x:v>
      </x:c>
      <x:c r="B307" s="47" t="str">
        <x:v>豆類/植物蛋白</x:v>
      </x:c>
      <x:c r="C307" s="47" t="str">
        <x:v>豆漿（高蛋白無糖）</x:v>
      </x:c>
      <x:c r="D307" s="47" t="str">
        <x:v>液體/100ml</x:v>
      </x:c>
      <x:c r="E307" s="48" t="n">
        <x:v>45</x:v>
      </x:c>
      <x:c r="F307" s="48" t="n">
        <x:v>5</x:v>
      </x:c>
      <x:c r="G307" s="48" t="n">
        <x:v>2</x:v>
      </x:c>
      <x:c r="H307" s="48" t="n">
        <x:v>1.5</x:v>
      </x:c>
      <x:c r="I307" s="49" t="n">
        <x:v>45</x:v>
      </x:c>
      <x:c r="J307" s="47" t="str">
        <x:v>USDA FDC / Taiwan FDA / estimate</x:v>
      </x:c>
      <x:c r="K307" s="47" t="str">
        <x:v>品牌差異大</x:v>
      </x:c>
      <x:c r="L307" s="47" t="str">
        <x:v>https://fdc.nal.usda.gov/ ; https://www.fda.gov.tw/tc/siteList.aspx?sid=284 ; https://consumer.fda.gov.tw/Food/TFND.aspx?nodeID=178</x:v>
      </x:c>
    </x:row>
    <x:row r="308">
      <x:c r="A308" s="47" t="str">
        <x:v>SO042</x:v>
      </x:c>
      <x:c r="B308" s="47" t="str">
        <x:v>豆類/植物蛋白</x:v>
      </x:c>
      <x:c r="C308" s="47" t="str">
        <x:v>鷹嘴豆泥（無油基準）</x:v>
      </x:c>
      <x:c r="D308" s="47" t="str">
        <x:v>可食部</x:v>
      </x:c>
      <x:c r="E308" s="48" t="n">
        <x:v>120</x:v>
      </x:c>
      <x:c r="F308" s="48" t="n">
        <x:v>6</x:v>
      </x:c>
      <x:c r="G308" s="48" t="n">
        <x:v>3</x:v>
      </x:c>
      <x:c r="H308" s="48" t="n">
        <x:v>18</x:v>
      </x:c>
      <x:c r="I308" s="49" t="n">
        <x:v>220</x:v>
      </x:c>
      <x:c r="J308" s="47" t="str">
        <x:v>USDA FDC / Taiwan FDA / estimate</x:v>
      </x:c>
      <x:c r="K308" s="47" t="str">
        <x:v>若加橄欖油需另計</x:v>
      </x:c>
      <x:c r="L308" s="47" t="str">
        <x:v>https://fdc.nal.usda.gov/ ; https://www.fda.gov.tw/tc/siteList.aspx?sid=284 ; https://consumer.fda.gov.tw/Food/TFND.aspx?nodeID=178</x:v>
      </x:c>
    </x:row>
    <x:row r="309">
      <x:c r="A309" s="47" t="str">
        <x:v>DA005</x:v>
      </x:c>
      <x:c r="B309" s="47" t="str">
        <x:v>乳品</x:v>
      </x:c>
      <x:c r="C309" s="47" t="str">
        <x:v>鮮奶（脫脂）</x:v>
      </x:c>
      <x:c r="D309" s="47" t="str">
        <x:v>液體/100ml</x:v>
      </x:c>
      <x:c r="E309" s="48" t="n">
        <x:v>34</x:v>
      </x:c>
      <x:c r="F309" s="48" t="n">
        <x:v>3.4</x:v>
      </x:c>
      <x:c r="G309" s="48" t="n">
        <x:v>0.1</x:v>
      </x:c>
      <x:c r="H309" s="48" t="n">
        <x:v>5</x:v>
      </x:c>
      <x:c r="I309" s="49" t="n">
        <x:v>42</x:v>
      </x:c>
      <x:c r="J309" s="47" t="str">
        <x:v>USDA FDC / Taiwan FDA / estimate</x:v>
      </x:c>
      <x:c r="K309" s="47"/>
      <x:c r="L309" s="47" t="str">
        <x:v>https://fdc.nal.usda.gov/ ; https://www.fda.gov.tw/tc/siteList.aspx?sid=284 ; https://consumer.fda.gov.tw/Food/TFND.aspx?nodeID=178</x:v>
      </x:c>
    </x:row>
    <x:row r="310">
      <x:c r="A310" s="47" t="str">
        <x:v>DA006</x:v>
      </x:c>
      <x:c r="B310" s="47" t="str">
        <x:v>乳品</x:v>
      </x:c>
      <x:c r="C310" s="47" t="str">
        <x:v>保久乳（全脂）</x:v>
      </x:c>
      <x:c r="D310" s="47" t="str">
        <x:v>液體/100ml</x:v>
      </x:c>
      <x:c r="E310" s="48" t="n">
        <x:v>61</x:v>
      </x:c>
      <x:c r="F310" s="48" t="n">
        <x:v>3.2</x:v>
      </x:c>
      <x:c r="G310" s="48" t="n">
        <x:v>3.3</x:v>
      </x:c>
      <x:c r="H310" s="48" t="n">
        <x:v>4.8</x:v>
      </x:c>
      <x:c r="I310" s="49" t="n">
        <x:v>43</x:v>
      </x:c>
      <x:c r="J310" s="47" t="str">
        <x:v>USDA FDC / Taiwan FDA / estimate</x:v>
      </x:c>
      <x:c r="K310" s="47" t="str">
        <x:v>品牌差異大</x:v>
      </x:c>
      <x:c r="L310" s="47" t="str">
        <x:v>https://fdc.nal.usda.gov/ ; https://www.fda.gov.tw/tc/siteList.aspx?sid=284 ; https://consumer.fda.gov.tw/Food/TFND.aspx?nodeID=178</x:v>
      </x:c>
    </x:row>
    <x:row r="311">
      <x:c r="A311" s="47" t="str">
        <x:v>DA007</x:v>
      </x:c>
      <x:c r="B311" s="47" t="str">
        <x:v>乳品</x:v>
      </x:c>
      <x:c r="C311" s="47" t="str">
        <x:v>羊奶</x:v>
      </x:c>
      <x:c r="D311" s="47" t="str">
        <x:v>液體/100ml</x:v>
      </x:c>
      <x:c r="E311" s="48" t="n">
        <x:v>69</x:v>
      </x:c>
      <x:c r="F311" s="48" t="n">
        <x:v>3.6</x:v>
      </x:c>
      <x:c r="G311" s="48" t="n">
        <x:v>4.1</x:v>
      </x:c>
      <x:c r="H311" s="48" t="n">
        <x:v>4.5</x:v>
      </x:c>
      <x:c r="I311" s="49" t="n">
        <x:v>50</x:v>
      </x:c>
      <x:c r="J311" s="47" t="str">
        <x:v>USDA FDC / Taiwan FDA / estimate</x:v>
      </x:c>
      <x:c r="K311" s="47"/>
      <x:c r="L311" s="47" t="str">
        <x:v>https://fdc.nal.usda.gov/ ; https://www.fda.gov.tw/tc/siteList.aspx?sid=284 ; https://consumer.fda.gov.tw/Food/TFND.aspx?nodeID=178</x:v>
      </x:c>
    </x:row>
    <x:row r="312">
      <x:c r="A312" s="47" t="str">
        <x:v>DA008</x:v>
      </x:c>
      <x:c r="B312" s="47" t="str">
        <x:v>乳品</x:v>
      </x:c>
      <x:c r="C312" s="47" t="str">
        <x:v>優酪乳（無糖）</x:v>
      </x:c>
      <x:c r="D312" s="47" t="str">
        <x:v>液體/100ml</x:v>
      </x:c>
      <x:c r="E312" s="48" t="n">
        <x:v>60</x:v>
      </x:c>
      <x:c r="F312" s="48" t="n">
        <x:v>3.5</x:v>
      </x:c>
      <x:c r="G312" s="48" t="n">
        <x:v>3</x:v>
      </x:c>
      <x:c r="H312" s="48" t="n">
        <x:v>5</x:v>
      </x:c>
      <x:c r="I312" s="49" t="n">
        <x:v>50</x:v>
      </x:c>
      <x:c r="J312" s="47" t="str">
        <x:v>USDA FDC / Taiwan FDA / estimate</x:v>
      </x:c>
      <x:c r="K312" s="47" t="str">
        <x:v>品牌差異大</x:v>
      </x:c>
      <x:c r="L312" s="47" t="str">
        <x:v>https://fdc.nal.usda.gov/ ; https://www.fda.gov.tw/tc/siteList.aspx?sid=284 ; https://consumer.fda.gov.tw/Food/TFND.aspx?nodeID=178</x:v>
      </x:c>
    </x:row>
    <x:row r="313">
      <x:c r="A313" s="47" t="str">
        <x:v>DA009</x:v>
      </x:c>
      <x:c r="B313" s="47" t="str">
        <x:v>乳品</x:v>
      </x:c>
      <x:c r="C313" s="47" t="str">
        <x:v>希臘優格（低脂無糖）</x:v>
      </x:c>
      <x:c r="D313" s="47" t="str">
        <x:v>可食部</x:v>
      </x:c>
      <x:c r="E313" s="48" t="n">
        <x:v>73</x:v>
      </x:c>
      <x:c r="F313" s="48" t="n">
        <x:v>10</x:v>
      </x:c>
      <x:c r="G313" s="48" t="n">
        <x:v>2</x:v>
      </x:c>
      <x:c r="H313" s="48" t="n">
        <x:v>3.5</x:v>
      </x:c>
      <x:c r="I313" s="49" t="n">
        <x:v>36</x:v>
      </x:c>
      <x:c r="J313" s="47" t="str">
        <x:v>USDA FDC / Taiwan FDA / estimate</x:v>
      </x:c>
      <x:c r="K313" s="47" t="str">
        <x:v>品牌差異大</x:v>
      </x:c>
      <x:c r="L313" s="47" t="str">
        <x:v>https://fdc.nal.usda.gov/ ; https://www.fda.gov.tw/tc/siteList.aspx?sid=284 ; https://consumer.fda.gov.tw/Food/TFND.aspx?nodeID=178</x:v>
      </x:c>
    </x:row>
    <x:row r="314">
      <x:c r="A314" s="47" t="str">
        <x:v>DA010</x:v>
      </x:c>
      <x:c r="B314" s="47" t="str">
        <x:v>乳品</x:v>
      </x:c>
      <x:c r="C314" s="47" t="str">
        <x:v>茅屋起司</x:v>
      </x:c>
      <x:c r="D314" s="47" t="str">
        <x:v>可食部</x:v>
      </x:c>
      <x:c r="E314" s="48" t="n">
        <x:v>98</x:v>
      </x:c>
      <x:c r="F314" s="48" t="n">
        <x:v>11.1</x:v>
      </x:c>
      <x:c r="G314" s="48" t="n">
        <x:v>4.3</x:v>
      </x:c>
      <x:c r="H314" s="48" t="n">
        <x:v>3.4</x:v>
      </x:c>
      <x:c r="I314" s="49" t="n">
        <x:v>364</x:v>
      </x:c>
      <x:c r="J314" s="47" t="str">
        <x:v>USDA FDC / Taiwan FDA / estimate</x:v>
      </x:c>
      <x:c r="K314" s="47" t="str">
        <x:v>鈉通常偏高</x:v>
      </x:c>
      <x:c r="L314" s="47" t="str">
        <x:v>https://fdc.nal.usda.gov/ ; https://www.fda.gov.tw/tc/siteList.aspx?sid=284 ; https://consumer.fda.gov.tw/Food/TFND.aspx?nodeID=178</x:v>
      </x:c>
    </x:row>
    <x:row r="315">
      <x:c r="A315" s="47" t="str">
        <x:v>DA011</x:v>
      </x:c>
      <x:c r="B315" s="47" t="str">
        <x:v>乳品</x:v>
      </x:c>
      <x:c r="C315" s="47" t="str">
        <x:v>瑞可塔起司</x:v>
      </x:c>
      <x:c r="D315" s="47" t="str">
        <x:v>可食部</x:v>
      </x:c>
      <x:c r="E315" s="48" t="n">
        <x:v>174</x:v>
      </x:c>
      <x:c r="F315" s="48" t="n">
        <x:v>11.3</x:v>
      </x:c>
      <x:c r="G315" s="48" t="n">
        <x:v>13</x:v>
      </x:c>
      <x:c r="H315" s="48" t="n">
        <x:v>3</x:v>
      </x:c>
      <x:c r="I315" s="49" t="n">
        <x:v>84</x:v>
      </x:c>
      <x:c r="J315" s="47" t="str">
        <x:v>USDA FDC / Taiwan FDA / estimate</x:v>
      </x:c>
      <x:c r="K315" s="47"/>
      <x:c r="L315" s="47" t="str">
        <x:v>https://fdc.nal.usda.gov/ ; https://www.fda.gov.tw/tc/siteList.aspx?sid=284 ; https://consumer.fda.gov.tw/Food/TFND.aspx?nodeID=178</x:v>
      </x:c>
    </x:row>
    <x:row r="316">
      <x:c r="A316" s="47" t="str">
        <x:v>DA012</x:v>
      </x:c>
      <x:c r="B316" s="47" t="str">
        <x:v>乳品</x:v>
      </x:c>
      <x:c r="C316" s="47" t="str">
        <x:v>莫札瑞拉起司</x:v>
      </x:c>
      <x:c r="D316" s="47" t="str">
        <x:v>可食部</x:v>
      </x:c>
      <x:c r="E316" s="48" t="n">
        <x:v>280</x:v>
      </x:c>
      <x:c r="F316" s="48" t="n">
        <x:v>28</x:v>
      </x:c>
      <x:c r="G316" s="48" t="n">
        <x:v>17</x:v>
      </x:c>
      <x:c r="H316" s="48" t="n">
        <x:v>3.1</x:v>
      </x:c>
      <x:c r="I316" s="49" t="n">
        <x:v>620</x:v>
      </x:c>
      <x:c r="J316" s="47" t="str">
        <x:v>USDA FDC / Taiwan FDA / estimate</x:v>
      </x:c>
      <x:c r="K316" s="47"/>
      <x:c r="L316" s="47" t="str">
        <x:v>https://fdc.nal.usda.gov/ ; https://www.fda.gov.tw/tc/siteList.aspx?sid=284 ; https://consumer.fda.gov.tw/Food/TFND.aspx?nodeID=178</x:v>
      </x:c>
    </x:row>
    <x:row r="317">
      <x:c r="A317" s="47" t="str">
        <x:v>DA013</x:v>
      </x:c>
      <x:c r="B317" s="47" t="str">
        <x:v>乳品</x:v>
      </x:c>
      <x:c r="C317" s="47" t="str">
        <x:v>切達起司</x:v>
      </x:c>
      <x:c r="D317" s="47" t="str">
        <x:v>可食部</x:v>
      </x:c>
      <x:c r="E317" s="48" t="n">
        <x:v>403</x:v>
      </x:c>
      <x:c r="F317" s="48" t="n">
        <x:v>25</x:v>
      </x:c>
      <x:c r="G317" s="48" t="n">
        <x:v>33</x:v>
      </x:c>
      <x:c r="H317" s="48" t="n">
        <x:v>1.3</x:v>
      </x:c>
      <x:c r="I317" s="49" t="n">
        <x:v>621</x:v>
      </x:c>
      <x:c r="J317" s="47" t="str">
        <x:v>USDA FDC / Taiwan FDA / estimate</x:v>
      </x:c>
      <x:c r="K317" s="47"/>
      <x:c r="L317" s="47" t="str">
        <x:v>https://fdc.nal.usda.gov/ ; https://www.fda.gov.tw/tc/siteList.aspx?sid=284 ; https://consumer.fda.gov.tw/Food/TFND.aspx?nodeID=178</x:v>
      </x:c>
    </x:row>
    <x:row r="318">
      <x:c r="A318" s="47" t="str">
        <x:v>DA014</x:v>
      </x:c>
      <x:c r="B318" s="47" t="str">
        <x:v>乳品</x:v>
      </x:c>
      <x:c r="C318" s="47" t="str">
        <x:v>帕瑪森起司</x:v>
      </x:c>
      <x:c r="D318" s="47" t="str">
        <x:v>可食部</x:v>
      </x:c>
      <x:c r="E318" s="48" t="n">
        <x:v>431</x:v>
      </x:c>
      <x:c r="F318" s="48" t="n">
        <x:v>38</x:v>
      </x:c>
      <x:c r="G318" s="48" t="n">
        <x:v>29</x:v>
      </x:c>
      <x:c r="H318" s="48" t="n">
        <x:v>4.1</x:v>
      </x:c>
      <x:c r="I318" s="49" t="n">
        <x:v>1529</x:v>
      </x:c>
      <x:c r="J318" s="47" t="str">
        <x:v>USDA FDC / Taiwan FDA / estimate</x:v>
      </x:c>
      <x:c r="K318" s="47" t="str">
        <x:v>鈉高</x:v>
      </x:c>
      <x:c r="L318" s="47" t="str">
        <x:v>https://fdc.nal.usda.gov/ ; https://www.fda.gov.tw/tc/siteList.aspx?sid=284 ; https://consumer.fda.gov.tw/Food/TFND.aspx?nodeID=178</x:v>
      </x:c>
    </x:row>
    <x:row r="319">
      <x:c r="A319" s="47" t="str">
        <x:v>DA015</x:v>
      </x:c>
      <x:c r="B319" s="47" t="str">
        <x:v>乳品</x:v>
      </x:c>
      <x:c r="C319" s="47" t="str">
        <x:v>費達起司</x:v>
      </x:c>
      <x:c r="D319" s="47" t="str">
        <x:v>可食部</x:v>
      </x:c>
      <x:c r="E319" s="48" t="n">
        <x:v>264</x:v>
      </x:c>
      <x:c r="F319" s="48" t="n">
        <x:v>14</x:v>
      </x:c>
      <x:c r="G319" s="48" t="n">
        <x:v>21</x:v>
      </x:c>
      <x:c r="H319" s="48" t="n">
        <x:v>4.1</x:v>
      </x:c>
      <x:c r="I319" s="49" t="n">
        <x:v>1116</x:v>
      </x:c>
      <x:c r="J319" s="47" t="str">
        <x:v>USDA FDC / Taiwan FDA / estimate</x:v>
      </x:c>
      <x:c r="K319" s="47" t="str">
        <x:v>鈉高</x:v>
      </x:c>
      <x:c r="L319" s="47" t="str">
        <x:v>https://fdc.nal.usda.gov/ ; https://www.fda.gov.tw/tc/siteList.aspx?sid=284 ; https://consumer.fda.gov.tw/Food/TFND.aspx?nodeID=178</x:v>
      </x:c>
    </x:row>
    <x:row r="320">
      <x:c r="A320" s="47" t="str">
        <x:v>DA016</x:v>
      </x:c>
      <x:c r="B320" s="47" t="str">
        <x:v>乳品</x:v>
      </x:c>
      <x:c r="C320" s="47" t="str">
        <x:v>奶油</x:v>
      </x:c>
      <x:c r="D320" s="47" t="str">
        <x:v>可食部</x:v>
      </x:c>
      <x:c r="E320" s="48" t="n">
        <x:v>717</x:v>
      </x:c>
      <x:c r="F320" s="48" t="n">
        <x:v>0.9</x:v>
      </x:c>
      <x:c r="G320" s="48" t="n">
        <x:v>81</x:v>
      </x:c>
      <x:c r="H320" s="48" t="n">
        <x:v>0.1</x:v>
      </x:c>
      <x:c r="I320" s="49" t="n">
        <x:v>11</x:v>
      </x:c>
      <x:c r="J320" s="47" t="str">
        <x:v>USDA FDC / Taiwan FDA / estimate</x:v>
      </x:c>
      <x:c r="K320" s="47" t="str">
        <x:v>建議走油脂/調味規則</x:v>
      </x:c>
      <x:c r="L320" s="47" t="str">
        <x:v>https://fdc.nal.usda.gov/ ; https://www.fda.gov.tw/tc/siteList.aspx?sid=284 ; https://consumer.fda.gov.tw/Food/TFND.aspx?nodeID=178</x:v>
      </x:c>
    </x:row>
    <x:row r="321">
      <x:c r="A321" s="47" t="str">
        <x:v>DA017</x:v>
      </x:c>
      <x:c r="B321" s="47" t="str">
        <x:v>乳品</x:v>
      </x:c>
      <x:c r="C321" s="47" t="str">
        <x:v>鮮奶油</x:v>
      </x:c>
      <x:c r="D321" s="47" t="str">
        <x:v>液體/100ml</x:v>
      </x:c>
      <x:c r="E321" s="48" t="n">
        <x:v>340</x:v>
      </x:c>
      <x:c r="F321" s="48" t="n">
        <x:v>2.1</x:v>
      </x:c>
      <x:c r="G321" s="48" t="n">
        <x:v>36</x:v>
      </x:c>
      <x:c r="H321" s="48" t="n">
        <x:v>2.8</x:v>
      </x:c>
      <x:c r="I321" s="49" t="n">
        <x:v>39</x:v>
      </x:c>
      <x:c r="J321" s="47" t="str">
        <x:v>USDA FDC / Taiwan FDA / estimate</x:v>
      </x:c>
      <x:c r="K321" s="47"/>
      <x:c r="L321" s="47" t="str">
        <x:v>https://fdc.nal.usda.gov/ ; https://www.fda.gov.tw/tc/siteList.aspx?sid=284 ; https://consumer.fda.gov.tw/Food/TFND.aspx?nodeID=178</x:v>
      </x:c>
    </x:row>
    <x:row r="322">
      <x:c r="A322" s="47" t="str">
        <x:v>DA018</x:v>
      </x:c>
      <x:c r="B322" s="47" t="str">
        <x:v>乳品</x:v>
      </x:c>
      <x:c r="C322" s="47" t="str">
        <x:v>酸奶油</x:v>
      </x:c>
      <x:c r="D322" s="47" t="str">
        <x:v>可食部</x:v>
      </x:c>
      <x:c r="E322" s="48" t="n">
        <x:v>193</x:v>
      </x:c>
      <x:c r="F322" s="48" t="n">
        <x:v>2.4</x:v>
      </x:c>
      <x:c r="G322" s="48" t="n">
        <x:v>19</x:v>
      </x:c>
      <x:c r="H322" s="48" t="n">
        <x:v>4.6</x:v>
      </x:c>
      <x:c r="I322" s="49" t="n">
        <x:v>80</x:v>
      </x:c>
      <x:c r="J322" s="47" t="str">
        <x:v>USDA FDC / Taiwan FDA / estimate</x:v>
      </x:c>
      <x:c r="K322" s="47"/>
      <x:c r="L322" s="47" t="str">
        <x:v>https://fdc.nal.usda.gov/ ; https://www.fda.gov.tw/tc/siteList.aspx?sid=284 ; https://consumer.fda.gov.tw/Food/TFND.aspx?nodeID=178</x:v>
      </x:c>
    </x:row>
    <x:row r="323">
      <x:c r="A323" s="47" t="str">
        <x:v>DA019</x:v>
      </x:c>
      <x:c r="B323" s="47" t="str">
        <x:v>乳品</x:v>
      </x:c>
      <x:c r="C323" s="47" t="str">
        <x:v>無糖優格飲</x:v>
      </x:c>
      <x:c r="D323" s="47" t="str">
        <x:v>液體/100ml</x:v>
      </x:c>
      <x:c r="E323" s="48" t="n">
        <x:v>55</x:v>
      </x:c>
      <x:c r="F323" s="48" t="n">
        <x:v>3.2</x:v>
      </x:c>
      <x:c r="G323" s="48" t="n">
        <x:v>2.5</x:v>
      </x:c>
      <x:c r="H323" s="48" t="n">
        <x:v>5</x:v>
      </x:c>
      <x:c r="I323" s="49" t="n">
        <x:v>45</x:v>
      </x:c>
      <x:c r="J323" s="47" t="str">
        <x:v>USDA FDC / Taiwan FDA / estimate</x:v>
      </x:c>
      <x:c r="K323" s="47" t="str">
        <x:v>品牌差異大</x:v>
      </x:c>
      <x:c r="L323" s="47" t="str">
        <x:v>https://fdc.nal.usda.gov/ ; https://www.fda.gov.tw/tc/siteList.aspx?sid=284 ; https://consumer.fda.gov.tw/Food/TFND.aspx?nodeID=178</x:v>
      </x:c>
    </x:row>
    <x:row r="324">
      <x:c r="A324" s="47" t="str">
        <x:v>VG025</x:v>
      </x:c>
      <x:c r="B324" s="47" t="str">
        <x:v>蔬菜</x:v>
      </x:c>
      <x:c r="C324" s="47" t="str">
        <x:v>高麗菜（熟）</x:v>
      </x:c>
      <x:c r="D324" s="47" t="str">
        <x:v>熟/可食部</x:v>
      </x:c>
      <x:c r="E324" s="48" t="n">
        <x:v>23</x:v>
      </x:c>
      <x:c r="F324" s="48" t="n">
        <x:v>1.3</x:v>
      </x:c>
      <x:c r="G324" s="48" t="n">
        <x:v>0.1</x:v>
      </x:c>
      <x:c r="H324" s="48" t="n">
        <x:v>5.5</x:v>
      </x:c>
      <x:c r="I324" s="49" t="n">
        <x:v>18</x:v>
      </x:c>
      <x:c r="J324" s="47" t="str">
        <x:v>USDA FDC / Taiwan FDA / estimate</x:v>
      </x:c>
      <x:c r="K324" s="47"/>
      <x:c r="L324" s="47" t="str">
        <x:v>https://fdc.nal.usda.gov/ ; https://www.fda.gov.tw/tc/siteList.aspx?sid=284 ; https://consumer.fda.gov.tw/Food/TFND.aspx?nodeID=178</x:v>
      </x:c>
    </x:row>
    <x:row r="325">
      <x:c r="A325" s="47" t="str">
        <x:v>VG026</x:v>
      </x:c>
      <x:c r="B325" s="47" t="str">
        <x:v>蔬菜</x:v>
      </x:c>
      <x:c r="C325" s="47" t="str">
        <x:v>紫高麗菜（生）</x:v>
      </x:c>
      <x:c r="D325" s="47" t="str">
        <x:v>生/可食部</x:v>
      </x:c>
      <x:c r="E325" s="48" t="n">
        <x:v>31</x:v>
      </x:c>
      <x:c r="F325" s="48" t="n">
        <x:v>1.4</x:v>
      </x:c>
      <x:c r="G325" s="48" t="n">
        <x:v>0.2</x:v>
      </x:c>
      <x:c r="H325" s="48" t="n">
        <x:v>7.4</x:v>
      </x:c>
      <x:c r="I325" s="49" t="n">
        <x:v>27</x:v>
      </x:c>
      <x:c r="J325" s="47" t="str">
        <x:v>USDA FDC / Taiwan FDA / estimate</x:v>
      </x:c>
      <x:c r="K325" s="47"/>
      <x:c r="L325" s="47" t="str">
        <x:v>https://fdc.nal.usda.gov/ ; https://www.fda.gov.tw/tc/siteList.aspx?sid=284 ; https://consumer.fda.gov.tw/Food/TFND.aspx?nodeID=178</x:v>
      </x:c>
    </x:row>
    <x:row r="326">
      <x:c r="A326" s="47" t="str">
        <x:v>VG027</x:v>
      </x:c>
      <x:c r="B326" s="47" t="str">
        <x:v>蔬菜</x:v>
      </x:c>
      <x:c r="C326" s="47" t="str">
        <x:v>紫高麗菜（熟）</x:v>
      </x:c>
      <x:c r="D326" s="47" t="str">
        <x:v>熟/可食部</x:v>
      </x:c>
      <x:c r="E326" s="48" t="n">
        <x:v>29</x:v>
      </x:c>
      <x:c r="F326" s="48" t="n">
        <x:v>1.5</x:v>
      </x:c>
      <x:c r="G326" s="48" t="n">
        <x:v>0.1</x:v>
      </x:c>
      <x:c r="H326" s="48" t="n">
        <x:v>6.9</x:v>
      </x:c>
      <x:c r="I326" s="49" t="n">
        <x:v>25</x:v>
      </x:c>
      <x:c r="J326" s="47" t="str">
        <x:v>USDA FDC / Taiwan FDA / estimate</x:v>
      </x:c>
      <x:c r="K326" s="47"/>
      <x:c r="L326" s="47" t="str">
        <x:v>https://fdc.nal.usda.gov/ ; https://www.fda.gov.tw/tc/siteList.aspx?sid=284 ; https://consumer.fda.gov.tw/Food/TFND.aspx?nodeID=178</x:v>
      </x:c>
    </x:row>
    <x:row r="327">
      <x:c r="A327" s="47" t="str">
        <x:v>VG028</x:v>
      </x:c>
      <x:c r="B327" s="47" t="str">
        <x:v>蔬菜</x:v>
      </x:c>
      <x:c r="C327" s="47" t="str">
        <x:v>娃娃菜（熟）</x:v>
      </x:c>
      <x:c r="D327" s="47" t="str">
        <x:v>熟/可食部</x:v>
      </x:c>
      <x:c r="E327" s="48" t="n">
        <x:v>13</x:v>
      </x:c>
      <x:c r="F327" s="48" t="n">
        <x:v>1.5</x:v>
      </x:c>
      <x:c r="G327" s="48" t="n">
        <x:v>0.2</x:v>
      </x:c>
      <x:c r="H327" s="48" t="n">
        <x:v>2.2</x:v>
      </x:c>
      <x:c r="I327" s="49" t="n">
        <x:v>8</x:v>
      </x:c>
      <x:c r="J327" s="47" t="str">
        <x:v>USDA FDC / Taiwan FDA / estimate</x:v>
      </x:c>
      <x:c r="K327" s="47"/>
      <x:c r="L327" s="47" t="str">
        <x:v>https://fdc.nal.usda.gov/ ; https://www.fda.gov.tw/tc/siteList.aspx?sid=284 ; https://consumer.fda.gov.tw/Food/TFND.aspx?nodeID=178</x:v>
      </x:c>
    </x:row>
    <x:row r="328">
      <x:c r="A328" s="47" t="str">
        <x:v>VG029</x:v>
      </x:c>
      <x:c r="B328" s="47" t="str">
        <x:v>蔬菜</x:v>
      </x:c>
      <x:c r="C328" s="47" t="str">
        <x:v>青江菜（熟）</x:v>
      </x:c>
      <x:c r="D328" s="47" t="str">
        <x:v>熟/可食部</x:v>
      </x:c>
      <x:c r="E328" s="48" t="n">
        <x:v>13</x:v>
      </x:c>
      <x:c r="F328" s="48" t="n">
        <x:v>1.5</x:v>
      </x:c>
      <x:c r="G328" s="48" t="n">
        <x:v>0.2</x:v>
      </x:c>
      <x:c r="H328" s="48" t="n">
        <x:v>2.2</x:v>
      </x:c>
      <x:c r="I328" s="49" t="n">
        <x:v>40</x:v>
      </x:c>
      <x:c r="J328" s="47" t="str">
        <x:v>USDA FDC / Taiwan FDA / estimate</x:v>
      </x:c>
      <x:c r="K328" s="47"/>
      <x:c r="L328" s="47" t="str">
        <x:v>https://fdc.nal.usda.gov/ ; https://www.fda.gov.tw/tc/siteList.aspx?sid=284 ; https://consumer.fda.gov.tw/Food/TFND.aspx?nodeID=178</x:v>
      </x:c>
    </x:row>
    <x:row r="329">
      <x:c r="A329" s="47" t="str">
        <x:v>VG030</x:v>
      </x:c>
      <x:c r="B329" s="47" t="str">
        <x:v>蔬菜</x:v>
      </x:c>
      <x:c r="C329" s="47" t="str">
        <x:v>莧菜（熟）</x:v>
      </x:c>
      <x:c r="D329" s="47" t="str">
        <x:v>熟/可食部</x:v>
      </x:c>
      <x:c r="E329" s="48" t="n">
        <x:v>28</x:v>
      </x:c>
      <x:c r="F329" s="48" t="n">
        <x:v>2.5</x:v>
      </x:c>
      <x:c r="G329" s="48" t="n">
        <x:v>0.3</x:v>
      </x:c>
      <x:c r="H329" s="48" t="n">
        <x:v>5</x:v>
      </x:c>
      <x:c r="I329" s="49" t="n">
        <x:v>20</x:v>
      </x:c>
      <x:c r="J329" s="47" t="str">
        <x:v>USDA FDC / Taiwan FDA / estimate</x:v>
      </x:c>
      <x:c r="K329" s="47"/>
      <x:c r="L329" s="47" t="str">
        <x:v>https://fdc.nal.usda.gov/ ; https://www.fda.gov.tw/tc/siteList.aspx?sid=284 ; https://consumer.fda.gov.tw/Food/TFND.aspx?nodeID=178</x:v>
      </x:c>
    </x:row>
    <x:row r="330">
      <x:c r="A330" s="47" t="str">
        <x:v>VG031</x:v>
      </x:c>
      <x:c r="B330" s="47" t="str">
        <x:v>蔬菜</x:v>
      </x:c>
      <x:c r="C330" s="47" t="str">
        <x:v>A菜/萵仔菜（生）</x:v>
      </x:c>
      <x:c r="D330" s="47" t="str">
        <x:v>生/可食部</x:v>
      </x:c>
      <x:c r="E330" s="48" t="n">
        <x:v>15</x:v>
      </x:c>
      <x:c r="F330" s="48" t="n">
        <x:v>1.4</x:v>
      </x:c>
      <x:c r="G330" s="48" t="n">
        <x:v>0.2</x:v>
      </x:c>
      <x:c r="H330" s="48" t="n">
        <x:v>2.9</x:v>
      </x:c>
      <x:c r="I330" s="49" t="n">
        <x:v>28</x:v>
      </x:c>
      <x:c r="J330" s="47" t="str">
        <x:v>USDA FDC / Taiwan FDA / estimate</x:v>
      </x:c>
      <x:c r="K330" s="47"/>
      <x:c r="L330" s="47" t="str">
        <x:v>https://fdc.nal.usda.gov/ ; https://www.fda.gov.tw/tc/siteList.aspx?sid=284 ; https://consumer.fda.gov.tw/Food/TFND.aspx?nodeID=178</x:v>
      </x:c>
    </x:row>
    <x:row r="331">
      <x:c r="A331" s="47" t="str">
        <x:v>VG032</x:v>
      </x:c>
      <x:c r="B331" s="47" t="str">
        <x:v>蔬菜</x:v>
      </x:c>
      <x:c r="C331" s="47" t="str">
        <x:v>蘿蔓萵苣（生）</x:v>
      </x:c>
      <x:c r="D331" s="47" t="str">
        <x:v>生/可食部</x:v>
      </x:c>
      <x:c r="E331" s="48" t="n">
        <x:v>17</x:v>
      </x:c>
      <x:c r="F331" s="48" t="n">
        <x:v>1.2</x:v>
      </x:c>
      <x:c r="G331" s="48" t="n">
        <x:v>0.3</x:v>
      </x:c>
      <x:c r="H331" s="48" t="n">
        <x:v>3.3</x:v>
      </x:c>
      <x:c r="I331" s="49" t="n">
        <x:v>8</x:v>
      </x:c>
      <x:c r="J331" s="47" t="str">
        <x:v>USDA FDC / Taiwan FDA / estimate</x:v>
      </x:c>
      <x:c r="K331" s="47"/>
      <x:c r="L331" s="47" t="str">
        <x:v>https://fdc.nal.usda.gov/ ; https://www.fda.gov.tw/tc/siteList.aspx?sid=284 ; https://consumer.fda.gov.tw/Food/TFND.aspx?nodeID=178</x:v>
      </x:c>
    </x:row>
    <x:row r="332">
      <x:c r="A332" s="47" t="str">
        <x:v>VG033</x:v>
      </x:c>
      <x:c r="B332" s="47" t="str">
        <x:v>蔬菜</x:v>
      </x:c>
      <x:c r="C332" s="47" t="str">
        <x:v>美生菜（生）</x:v>
      </x:c>
      <x:c r="D332" s="47" t="str">
        <x:v>生/可食部</x:v>
      </x:c>
      <x:c r="E332" s="48" t="n">
        <x:v>14</x:v>
      </x:c>
      <x:c r="F332" s="48" t="n">
        <x:v>0.9</x:v>
      </x:c>
      <x:c r="G332" s="48" t="n">
        <x:v>0.1</x:v>
      </x:c>
      <x:c r="H332" s="48" t="n">
        <x:v>3</x:v>
      </x:c>
      <x:c r="I332" s="49" t="n">
        <x:v>10</x:v>
      </x:c>
      <x:c r="J332" s="47" t="str">
        <x:v>USDA FDC / Taiwan FDA / estimate</x:v>
      </x:c>
      <x:c r="K332" s="47"/>
      <x:c r="L332" s="47" t="str">
        <x:v>https://fdc.nal.usda.gov/ ; https://www.fda.gov.tw/tc/siteList.aspx?sid=284 ; https://consumer.fda.gov.tw/Food/TFND.aspx?nodeID=178</x:v>
      </x:c>
    </x:row>
    <x:row r="333">
      <x:c r="A333" s="47" t="str">
        <x:v>VG034</x:v>
      </x:c>
      <x:c r="B333" s="47" t="str">
        <x:v>蔬菜</x:v>
      </x:c>
      <x:c r="C333" s="47" t="str">
        <x:v>芥藍菜（熟）</x:v>
      </x:c>
      <x:c r="D333" s="47" t="str">
        <x:v>熟/可食部</x:v>
      </x:c>
      <x:c r="E333" s="48" t="n">
        <x:v>28</x:v>
      </x:c>
      <x:c r="F333" s="48" t="n">
        <x:v>2.6</x:v>
      </x:c>
      <x:c r="G333" s="48" t="n">
        <x:v>0.4</x:v>
      </x:c>
      <x:c r="H333" s="48" t="n">
        <x:v>5.6</x:v>
      </x:c>
      <x:c r="I333" s="49" t="n">
        <x:v>20</x:v>
      </x:c>
      <x:c r="J333" s="47" t="str">
        <x:v>USDA FDC / Taiwan FDA / estimate</x:v>
      </x:c>
      <x:c r="K333" s="47"/>
      <x:c r="L333" s="47" t="str">
        <x:v>https://fdc.nal.usda.gov/ ; https://www.fda.gov.tw/tc/siteList.aspx?sid=284 ; https://consumer.fda.gov.tw/Food/TFND.aspx?nodeID=178</x:v>
      </x:c>
    </x:row>
    <x:row r="334">
      <x:c r="A334" s="47" t="str">
        <x:v>VG035</x:v>
      </x:c>
      <x:c r="B334" s="47" t="str">
        <x:v>蔬菜</x:v>
      </x:c>
      <x:c r="C334" s="47" t="str">
        <x:v>芥菜（熟）</x:v>
      </x:c>
      <x:c r="D334" s="47" t="str">
        <x:v>熟/可食部</x:v>
      </x:c>
      <x:c r="E334" s="48" t="n">
        <x:v>26</x:v>
      </x:c>
      <x:c r="F334" s="48" t="n">
        <x:v>2.6</x:v>
      </x:c>
      <x:c r="G334" s="48" t="n">
        <x:v>0.5</x:v>
      </x:c>
      <x:c r="H334" s="48" t="n">
        <x:v>4.5</x:v>
      </x:c>
      <x:c r="I334" s="49" t="n">
        <x:v>22</x:v>
      </x:c>
      <x:c r="J334" s="47" t="str">
        <x:v>USDA FDC / Taiwan FDA / estimate</x:v>
      </x:c>
      <x:c r="K334" s="47"/>
      <x:c r="L334" s="47" t="str">
        <x:v>https://fdc.nal.usda.gov/ ; https://www.fda.gov.tw/tc/siteList.aspx?sid=284 ; https://consumer.fda.gov.tw/Food/TFND.aspx?nodeID=178</x:v>
      </x:c>
    </x:row>
    <x:row r="335">
      <x:c r="A335" s="47" t="str">
        <x:v>VG036</x:v>
      </x:c>
      <x:c r="B335" s="47" t="str">
        <x:v>蔬菜</x:v>
      </x:c>
      <x:c r="C335" s="47" t="str">
        <x:v>油麥菜（生）</x:v>
      </x:c>
      <x:c r="D335" s="47" t="str">
        <x:v>生/可食部</x:v>
      </x:c>
      <x:c r="E335" s="48" t="n">
        <x:v>15</x:v>
      </x:c>
      <x:c r="F335" s="48" t="n">
        <x:v>1.4</x:v>
      </x:c>
      <x:c r="G335" s="48" t="n">
        <x:v>0.2</x:v>
      </x:c>
      <x:c r="H335" s="48" t="n">
        <x:v>2.9</x:v>
      </x:c>
      <x:c r="I335" s="49" t="n">
        <x:v>28</x:v>
      </x:c>
      <x:c r="J335" s="47" t="str">
        <x:v>USDA FDC / Taiwan FDA / estimate</x:v>
      </x:c>
      <x:c r="K335" s="47"/>
      <x:c r="L335" s="47" t="str">
        <x:v>https://fdc.nal.usda.gov/ ; https://www.fda.gov.tw/tc/siteList.aspx?sid=284 ; https://consumer.fda.gov.tw/Food/TFND.aspx?nodeID=178</x:v>
      </x:c>
    </x:row>
    <x:row r="336">
      <x:c r="A336" s="47" t="str">
        <x:v>VG037</x:v>
      </x:c>
      <x:c r="B336" s="47" t="str">
        <x:v>蔬菜</x:v>
      </x:c>
      <x:c r="C336" s="47" t="str">
        <x:v>龍鬚菜（熟）</x:v>
      </x:c>
      <x:c r="D336" s="47" t="str">
        <x:v>熟/可食部</x:v>
      </x:c>
      <x:c r="E336" s="48" t="n">
        <x:v>25</x:v>
      </x:c>
      <x:c r="F336" s="48" t="n">
        <x:v>2</x:v>
      </x:c>
      <x:c r="G336" s="48" t="n">
        <x:v>0.3</x:v>
      </x:c>
      <x:c r="H336" s="48" t="n">
        <x:v>5</x:v>
      </x:c>
      <x:c r="I336" s="49" t="n">
        <x:v>20</x:v>
      </x:c>
      <x:c r="J336" s="47" t="str">
        <x:v>USDA FDC / Taiwan FDA / estimate</x:v>
      </x:c>
      <x:c r="K336" s="47"/>
      <x:c r="L336" s="47" t="str">
        <x:v>https://fdc.nal.usda.gov/ ; https://www.fda.gov.tw/tc/siteList.aspx?sid=284 ; https://consumer.fda.gov.tw/Food/TFND.aspx?nodeID=178</x:v>
      </x:c>
    </x:row>
    <x:row r="337">
      <x:c r="A337" s="47" t="str">
        <x:v>VG038</x:v>
      </x:c>
      <x:c r="B337" s="47" t="str">
        <x:v>蔬菜</x:v>
      </x:c>
      <x:c r="C337" s="47" t="str">
        <x:v>皇宮菜（熟）</x:v>
      </x:c>
      <x:c r="D337" s="47" t="str">
        <x:v>熟/可食部</x:v>
      </x:c>
      <x:c r="E337" s="48" t="n">
        <x:v>25</x:v>
      </x:c>
      <x:c r="F337" s="48" t="n">
        <x:v>2</x:v>
      </x:c>
      <x:c r="G337" s="48" t="n">
        <x:v>0.3</x:v>
      </x:c>
      <x:c r="H337" s="48" t="n">
        <x:v>5</x:v>
      </x:c>
      <x:c r="I337" s="49" t="n">
        <x:v>20</x:v>
      </x:c>
      <x:c r="J337" s="47" t="str">
        <x:v>USDA FDC / Taiwan FDA / estimate</x:v>
      </x:c>
      <x:c r="K337" s="47"/>
      <x:c r="L337" s="47" t="str">
        <x:v>https://fdc.nal.usda.gov/ ; https://www.fda.gov.tw/tc/siteList.aspx?sid=284 ; https://consumer.fda.gov.tw/Food/TFND.aspx?nodeID=178</x:v>
      </x:c>
    </x:row>
    <x:row r="338">
      <x:c r="A338" s="47" t="str">
        <x:v>VG039</x:v>
      </x:c>
      <x:c r="B338" s="47" t="str">
        <x:v>蔬菜</x:v>
      </x:c>
      <x:c r="C338" s="47" t="str">
        <x:v>韭菜（熟）</x:v>
      </x:c>
      <x:c r="D338" s="47" t="str">
        <x:v>熟/可食部</x:v>
      </x:c>
      <x:c r="E338" s="48" t="n">
        <x:v>30</x:v>
      </x:c>
      <x:c r="F338" s="48" t="n">
        <x:v>2</x:v>
      </x:c>
      <x:c r="G338" s="48" t="n">
        <x:v>0.5</x:v>
      </x:c>
      <x:c r="H338" s="48" t="n">
        <x:v>6</x:v>
      </x:c>
      <x:c r="I338" s="49" t="n">
        <x:v>3</x:v>
      </x:c>
      <x:c r="J338" s="47" t="str">
        <x:v>USDA FDC / Taiwan FDA / estimate</x:v>
      </x:c>
      <x:c r="K338" s="47"/>
      <x:c r="L338" s="47" t="str">
        <x:v>https://fdc.nal.usda.gov/ ; https://www.fda.gov.tw/tc/siteList.aspx?sid=284 ; https://consumer.fda.gov.tw/Food/TFND.aspx?nodeID=178</x:v>
      </x:c>
    </x:row>
    <x:row r="339">
      <x:c r="A339" s="47" t="str">
        <x:v>VG040</x:v>
      </x:c>
      <x:c r="B339" s="47" t="str">
        <x:v>蔬菜</x:v>
      </x:c>
      <x:c r="C339" s="47" t="str">
        <x:v>韭黃（熟）</x:v>
      </x:c>
      <x:c r="D339" s="47" t="str">
        <x:v>熟/可食部</x:v>
      </x:c>
      <x:c r="E339" s="48" t="n">
        <x:v>25</x:v>
      </x:c>
      <x:c r="F339" s="48" t="n">
        <x:v>1.8</x:v>
      </x:c>
      <x:c r="G339" s="48" t="n">
        <x:v>0.3</x:v>
      </x:c>
      <x:c r="H339" s="48" t="n">
        <x:v>5</x:v>
      </x:c>
      <x:c r="I339" s="49" t="n">
        <x:v>3</x:v>
      </x:c>
      <x:c r="J339" s="47" t="str">
        <x:v>USDA FDC / Taiwan FDA / estimate</x:v>
      </x:c>
      <x:c r="K339" s="47"/>
      <x:c r="L339" s="47" t="str">
        <x:v>https://fdc.nal.usda.gov/ ; https://www.fda.gov.tw/tc/siteList.aspx?sid=284 ; https://consumer.fda.gov.tw/Food/TFND.aspx?nodeID=178</x:v>
      </x:c>
    </x:row>
    <x:row r="340">
      <x:c r="A340" s="47" t="str">
        <x:v>VG041</x:v>
      </x:c>
      <x:c r="B340" s="47" t="str">
        <x:v>蔬菜</x:v>
      </x:c>
      <x:c r="C340" s="47" t="str">
        <x:v>青蔥</x:v>
      </x:c>
      <x:c r="D340" s="47" t="str">
        <x:v>生/可食部</x:v>
      </x:c>
      <x:c r="E340" s="48" t="n">
        <x:v>32</x:v>
      </x:c>
      <x:c r="F340" s="48" t="n">
        <x:v>1.8</x:v>
      </x:c>
      <x:c r="G340" s="48" t="n">
        <x:v>0.2</x:v>
      </x:c>
      <x:c r="H340" s="48" t="n">
        <x:v>7.3</x:v>
      </x:c>
      <x:c r="I340" s="49" t="n">
        <x:v>16</x:v>
      </x:c>
      <x:c r="J340" s="47" t="str">
        <x:v>USDA FDC / Taiwan FDA / estimate</x:v>
      </x:c>
      <x:c r="K340" s="47"/>
      <x:c r="L340" s="47" t="str">
        <x:v>https://fdc.nal.usda.gov/ ; https://www.fda.gov.tw/tc/siteList.aspx?sid=284 ; https://consumer.fda.gov.tw/Food/TFND.aspx?nodeID=178</x:v>
      </x:c>
    </x:row>
    <x:row r="341">
      <x:c r="A341" s="47" t="str">
        <x:v>VG042</x:v>
      </x:c>
      <x:c r="B341" s="47" t="str">
        <x:v>蔬菜</x:v>
      </x:c>
      <x:c r="C341" s="47" t="str">
        <x:v>蒜苗</x:v>
      </x:c>
      <x:c r="D341" s="47" t="str">
        <x:v>生/可食部</x:v>
      </x:c>
      <x:c r="E341" s="48" t="n">
        <x:v>61</x:v>
      </x:c>
      <x:c r="F341" s="48" t="n">
        <x:v>2</x:v>
      </x:c>
      <x:c r="G341" s="48" t="n">
        <x:v>0.3</x:v>
      </x:c>
      <x:c r="H341" s="48" t="n">
        <x:v>14</x:v>
      </x:c>
      <x:c r="I341" s="49" t="n">
        <x:v>17</x:v>
      </x:c>
      <x:c r="J341" s="47" t="str">
        <x:v>USDA FDC / Taiwan FDA / estimate</x:v>
      </x:c>
      <x:c r="K341" s="47"/>
      <x:c r="L341" s="47" t="str">
        <x:v>https://fdc.nal.usda.gov/ ; https://www.fda.gov.tw/tc/siteList.aspx?sid=284 ; https://consumer.fda.gov.tw/Food/TFND.aspx?nodeID=178</x:v>
      </x:c>
    </x:row>
    <x:row r="342">
      <x:c r="A342" s="47" t="str">
        <x:v>VG043</x:v>
      </x:c>
      <x:c r="B342" s="47" t="str">
        <x:v>蔬菜</x:v>
      </x:c>
      <x:c r="C342" s="47" t="str">
        <x:v>洋蔥（生）</x:v>
      </x:c>
      <x:c r="D342" s="47" t="str">
        <x:v>生/可食部</x:v>
      </x:c>
      <x:c r="E342" s="48" t="n">
        <x:v>40</x:v>
      </x:c>
      <x:c r="F342" s="48" t="n">
        <x:v>1.1</x:v>
      </x:c>
      <x:c r="G342" s="48" t="n">
        <x:v>0.1</x:v>
      </x:c>
      <x:c r="H342" s="48" t="n">
        <x:v>9.3</x:v>
      </x:c>
      <x:c r="I342" s="49" t="n">
        <x:v>4</x:v>
      </x:c>
      <x:c r="J342" s="47" t="str">
        <x:v>USDA FDC / Taiwan FDA / estimate</x:v>
      </x:c>
      <x:c r="K342" s="47"/>
      <x:c r="L342" s="47" t="str">
        <x:v>https://fdc.nal.usda.gov/ ; https://www.fda.gov.tw/tc/siteList.aspx?sid=284 ; https://consumer.fda.gov.tw/Food/TFND.aspx?nodeID=178</x:v>
      </x:c>
    </x:row>
    <x:row r="343">
      <x:c r="A343" s="47" t="str">
        <x:v>VG044</x:v>
      </x:c>
      <x:c r="B343" s="47" t="str">
        <x:v>蔬菜</x:v>
      </x:c>
      <x:c r="C343" s="47" t="str">
        <x:v>紅洋蔥（生）</x:v>
      </x:c>
      <x:c r="D343" s="47" t="str">
        <x:v>生/可食部</x:v>
      </x:c>
      <x:c r="E343" s="48" t="n">
        <x:v>40</x:v>
      </x:c>
      <x:c r="F343" s="48" t="n">
        <x:v>1.1</x:v>
      </x:c>
      <x:c r="G343" s="48" t="n">
        <x:v>0.1</x:v>
      </x:c>
      <x:c r="H343" s="48" t="n">
        <x:v>9.3</x:v>
      </x:c>
      <x:c r="I343" s="49" t="n">
        <x:v>4</x:v>
      </x:c>
      <x:c r="J343" s="47" t="str">
        <x:v>USDA FDC / Taiwan FDA / estimate</x:v>
      </x:c>
      <x:c r="K343" s="47"/>
      <x:c r="L343" s="47" t="str">
        <x:v>https://fdc.nal.usda.gov/ ; https://www.fda.gov.tw/tc/siteList.aspx?sid=284 ; https://consumer.fda.gov.tw/Food/TFND.aspx?nodeID=178</x:v>
      </x:c>
    </x:row>
    <x:row r="344">
      <x:c r="A344" s="47" t="str">
        <x:v>VG045</x:v>
      </x:c>
      <x:c r="B344" s="47" t="str">
        <x:v>蔬菜</x:v>
      </x:c>
      <x:c r="C344" s="47" t="str">
        <x:v>大蒜</x:v>
      </x:c>
      <x:c r="D344" s="47" t="str">
        <x:v>生/可食部</x:v>
      </x:c>
      <x:c r="E344" s="48" t="n">
        <x:v>149</x:v>
      </x:c>
      <x:c r="F344" s="48" t="n">
        <x:v>6.4</x:v>
      </x:c>
      <x:c r="G344" s="48" t="n">
        <x:v>0.5</x:v>
      </x:c>
      <x:c r="H344" s="48" t="n">
        <x:v>33.1</x:v>
      </x:c>
      <x:c r="I344" s="49" t="n">
        <x:v>17</x:v>
      </x:c>
      <x:c r="J344" s="47" t="str">
        <x:v>USDA FDC / Taiwan FDA / estimate</x:v>
      </x:c>
      <x:c r="K344" s="47" t="str">
        <x:v>用量通常很小</x:v>
      </x:c>
      <x:c r="L344" s="47" t="str">
        <x:v>https://fdc.nal.usda.gov/ ; https://www.fda.gov.tw/tc/siteList.aspx?sid=284 ; https://consumer.fda.gov.tw/Food/TFND.aspx?nodeID=178</x:v>
      </x:c>
    </x:row>
    <x:row r="345">
      <x:c r="A345" s="47" t="str">
        <x:v>VG046</x:v>
      </x:c>
      <x:c r="B345" s="47" t="str">
        <x:v>蔬菜</x:v>
      </x:c>
      <x:c r="C345" s="47" t="str">
        <x:v>薑</x:v>
      </x:c>
      <x:c r="D345" s="47" t="str">
        <x:v>生/可食部</x:v>
      </x:c>
      <x:c r="E345" s="48" t="n">
        <x:v>80</x:v>
      </x:c>
      <x:c r="F345" s="48" t="n">
        <x:v>1.8</x:v>
      </x:c>
      <x:c r="G345" s="48" t="n">
        <x:v>0.8</x:v>
      </x:c>
      <x:c r="H345" s="48" t="n">
        <x:v>17.8</x:v>
      </x:c>
      <x:c r="I345" s="49" t="n">
        <x:v>13</x:v>
      </x:c>
      <x:c r="J345" s="47" t="str">
        <x:v>USDA FDC / Taiwan FDA / estimate</x:v>
      </x:c>
      <x:c r="K345" s="47" t="str">
        <x:v>用量通常很小</x:v>
      </x:c>
      <x:c r="L345" s="47" t="str">
        <x:v>https://fdc.nal.usda.gov/ ; https://www.fda.gov.tw/tc/siteList.aspx?sid=284 ; https://consumer.fda.gov.tw/Food/TFND.aspx?nodeID=178</x:v>
      </x:c>
    </x:row>
    <x:row r="346">
      <x:c r="A346" s="47" t="str">
        <x:v>VG047</x:v>
      </x:c>
      <x:c r="B346" s="47" t="str">
        <x:v>蔬菜</x:v>
      </x:c>
      <x:c r="C346" s="47" t="str">
        <x:v>辣椒</x:v>
      </x:c>
      <x:c r="D346" s="47" t="str">
        <x:v>生/可食部</x:v>
      </x:c>
      <x:c r="E346" s="48" t="n">
        <x:v>40</x:v>
      </x:c>
      <x:c r="F346" s="48" t="n">
        <x:v>1.9</x:v>
      </x:c>
      <x:c r="G346" s="48" t="n">
        <x:v>0.4</x:v>
      </x:c>
      <x:c r="H346" s="48" t="n">
        <x:v>8.8</x:v>
      </x:c>
      <x:c r="I346" s="49" t="n">
        <x:v>9</x:v>
      </x:c>
      <x:c r="J346" s="47" t="str">
        <x:v>USDA FDC / Taiwan FDA / estimate</x:v>
      </x:c>
      <x:c r="K346" s="47"/>
      <x:c r="L346" s="47" t="str">
        <x:v>https://fdc.nal.usda.gov/ ; https://www.fda.gov.tw/tc/siteList.aspx?sid=284 ; https://consumer.fda.gov.tw/Food/TFND.aspx?nodeID=178</x:v>
      </x:c>
    </x:row>
    <x:row r="347">
      <x:c r="A347" s="47" t="str">
        <x:v>VG048</x:v>
      </x:c>
      <x:c r="B347" s="47" t="str">
        <x:v>蔬菜</x:v>
      </x:c>
      <x:c r="C347" s="47" t="str">
        <x:v>糯米椒</x:v>
      </x:c>
      <x:c r="D347" s="47" t="str">
        <x:v>生/可食部</x:v>
      </x:c>
      <x:c r="E347" s="48" t="n">
        <x:v>27</x:v>
      </x:c>
      <x:c r="F347" s="48" t="n">
        <x:v>1</x:v>
      </x:c>
      <x:c r="G347" s="48" t="n">
        <x:v>0.2</x:v>
      </x:c>
      <x:c r="H347" s="48" t="n">
        <x:v>6</x:v>
      </x:c>
      <x:c r="I347" s="49" t="n">
        <x:v>3</x:v>
      </x:c>
      <x:c r="J347" s="47" t="str">
        <x:v>USDA FDC / Taiwan FDA / estimate</x:v>
      </x:c>
      <x:c r="K347" s="47"/>
      <x:c r="L347" s="47" t="str">
        <x:v>https://fdc.nal.usda.gov/ ; https://www.fda.gov.tw/tc/siteList.aspx?sid=284 ; https://consumer.fda.gov.tw/Food/TFND.aspx?nodeID=178</x:v>
      </x:c>
    </x:row>
    <x:row r="348">
      <x:c r="A348" s="47" t="str">
        <x:v>VG049</x:v>
      </x:c>
      <x:c r="B348" s="47" t="str">
        <x:v>蔬菜</x:v>
      </x:c>
      <x:c r="C348" s="47" t="str">
        <x:v>紅甜椒</x:v>
      </x:c>
      <x:c r="D348" s="47" t="str">
        <x:v>生/可食部</x:v>
      </x:c>
      <x:c r="E348" s="48" t="n">
        <x:v>31</x:v>
      </x:c>
      <x:c r="F348" s="48" t="n">
        <x:v>1</x:v>
      </x:c>
      <x:c r="G348" s="48" t="n">
        <x:v>0.3</x:v>
      </x:c>
      <x:c r="H348" s="48" t="n">
        <x:v>6</x:v>
      </x:c>
      <x:c r="I348" s="49" t="n">
        <x:v>4</x:v>
      </x:c>
      <x:c r="J348" s="47" t="str">
        <x:v>USDA FDC / Taiwan FDA / estimate</x:v>
      </x:c>
      <x:c r="K348" s="47"/>
      <x:c r="L348" s="47" t="str">
        <x:v>https://fdc.nal.usda.gov/ ; https://www.fda.gov.tw/tc/siteList.aspx?sid=284 ; https://consumer.fda.gov.tw/Food/TFND.aspx?nodeID=178</x:v>
      </x:c>
    </x:row>
    <x:row r="349">
      <x:c r="A349" s="47" t="str">
        <x:v>VG050</x:v>
      </x:c>
      <x:c r="B349" s="47" t="str">
        <x:v>蔬菜</x:v>
      </x:c>
      <x:c r="C349" s="47" t="str">
        <x:v>黃甜椒</x:v>
      </x:c>
      <x:c r="D349" s="47" t="str">
        <x:v>生/可食部</x:v>
      </x:c>
      <x:c r="E349" s="48" t="n">
        <x:v>27</x:v>
      </x:c>
      <x:c r="F349" s="48" t="n">
        <x:v>1</x:v>
      </x:c>
      <x:c r="G349" s="48" t="n">
        <x:v>0.2</x:v>
      </x:c>
      <x:c r="H349" s="48" t="n">
        <x:v>6.3</x:v>
      </x:c>
      <x:c r="I349" s="49" t="n">
        <x:v>2</x:v>
      </x:c>
      <x:c r="J349" s="47" t="str">
        <x:v>USDA FDC / Taiwan FDA / estimate</x:v>
      </x:c>
      <x:c r="K349" s="47"/>
      <x:c r="L349" s="47" t="str">
        <x:v>https://fdc.nal.usda.gov/ ; https://www.fda.gov.tw/tc/siteList.aspx?sid=284 ; https://consumer.fda.gov.tw/Food/TFND.aspx?nodeID=178</x:v>
      </x:c>
    </x:row>
    <x:row r="350">
      <x:c r="A350" s="47" t="str">
        <x:v>VG051</x:v>
      </x:c>
      <x:c r="B350" s="47" t="str">
        <x:v>蔬菜</x:v>
      </x:c>
      <x:c r="C350" s="47" t="str">
        <x:v>青椒（熟）</x:v>
      </x:c>
      <x:c r="D350" s="47" t="str">
        <x:v>熟/可食部</x:v>
      </x:c>
      <x:c r="E350" s="48" t="n">
        <x:v>22</x:v>
      </x:c>
      <x:c r="F350" s="48" t="n">
        <x:v>0.9</x:v>
      </x:c>
      <x:c r="G350" s="48" t="n">
        <x:v>0.2</x:v>
      </x:c>
      <x:c r="H350" s="48" t="n">
        <x:v>5</x:v>
      </x:c>
      <x:c r="I350" s="49" t="n">
        <x:v>3</x:v>
      </x:c>
      <x:c r="J350" s="47" t="str">
        <x:v>USDA FDC / Taiwan FDA / estimate</x:v>
      </x:c>
      <x:c r="K350" s="47"/>
      <x:c r="L350" s="47" t="str">
        <x:v>https://fdc.nal.usda.gov/ ; https://www.fda.gov.tw/tc/siteList.aspx?sid=284 ; https://consumer.fda.gov.tw/Food/TFND.aspx?nodeID=178</x:v>
      </x:c>
    </x:row>
    <x:row r="351">
      <x:c r="A351" s="47" t="str">
        <x:v>VG052</x:v>
      </x:c>
      <x:c r="B351" s="47" t="str">
        <x:v>蔬菜</x:v>
      </x:c>
      <x:c r="C351" s="47" t="str">
        <x:v>番茄（熟）</x:v>
      </x:c>
      <x:c r="D351" s="47" t="str">
        <x:v>熟/可食部</x:v>
      </x:c>
      <x:c r="E351" s="48" t="n">
        <x:v>18</x:v>
      </x:c>
      <x:c r="F351" s="48" t="n">
        <x:v>0.9</x:v>
      </x:c>
      <x:c r="G351" s="48" t="n">
        <x:v>0.2</x:v>
      </x:c>
      <x:c r="H351" s="48" t="n">
        <x:v>4</x:v>
      </x:c>
      <x:c r="I351" s="49" t="n">
        <x:v>5</x:v>
      </x:c>
      <x:c r="J351" s="47" t="str">
        <x:v>USDA FDC / Taiwan FDA / estimate</x:v>
      </x:c>
      <x:c r="K351" s="47"/>
      <x:c r="L351" s="47" t="str">
        <x:v>https://fdc.nal.usda.gov/ ; https://www.fda.gov.tw/tc/siteList.aspx?sid=284 ; https://consumer.fda.gov.tw/Food/TFND.aspx?nodeID=178</x:v>
      </x:c>
    </x:row>
    <x:row r="352">
      <x:c r="A352" s="47" t="str">
        <x:v>VG053</x:v>
      </x:c>
      <x:c r="B352" s="47" t="str">
        <x:v>蔬菜</x:v>
      </x:c>
      <x:c r="C352" s="47" t="str">
        <x:v>牛番茄</x:v>
      </x:c>
      <x:c r="D352" s="47" t="str">
        <x:v>生/可食部</x:v>
      </x:c>
      <x:c r="E352" s="48" t="n">
        <x:v>18</x:v>
      </x:c>
      <x:c r="F352" s="48" t="n">
        <x:v>0.9</x:v>
      </x:c>
      <x:c r="G352" s="48" t="n">
        <x:v>0.2</x:v>
      </x:c>
      <x:c r="H352" s="48" t="n">
        <x:v>3.9</x:v>
      </x:c>
      <x:c r="I352" s="49" t="n">
        <x:v>5</x:v>
      </x:c>
      <x:c r="J352" s="47" t="str">
        <x:v>USDA FDC / Taiwan FDA / estimate</x:v>
      </x:c>
      <x:c r="K352" s="47"/>
      <x:c r="L352" s="47" t="str">
        <x:v>https://fdc.nal.usda.gov/ ; https://www.fda.gov.tw/tc/siteList.aspx?sid=284 ; https://consumer.fda.gov.tw/Food/TFND.aspx?nodeID=178</x:v>
      </x:c>
    </x:row>
    <x:row r="353">
      <x:c r="A353" s="47" t="str">
        <x:v>VG054</x:v>
      </x:c>
      <x:c r="B353" s="47" t="str">
        <x:v>蔬菜</x:v>
      </x:c>
      <x:c r="C353" s="47" t="str">
        <x:v>小番茄</x:v>
      </x:c>
      <x:c r="D353" s="47" t="str">
        <x:v>生/可食部</x:v>
      </x:c>
      <x:c r="E353" s="48" t="n">
        <x:v>18</x:v>
      </x:c>
      <x:c r="F353" s="48" t="n">
        <x:v>0.9</x:v>
      </x:c>
      <x:c r="G353" s="48" t="n">
        <x:v>0.2</x:v>
      </x:c>
      <x:c r="H353" s="48" t="n">
        <x:v>3.9</x:v>
      </x:c>
      <x:c r="I353" s="49" t="n">
        <x:v>5</x:v>
      </x:c>
      <x:c r="J353" s="47" t="str">
        <x:v>USDA FDC / Taiwan FDA / estimate</x:v>
      </x:c>
      <x:c r="K353" s="47"/>
      <x:c r="L353" s="47" t="str">
        <x:v>https://fdc.nal.usda.gov/ ; https://www.fda.gov.tw/tc/siteList.aspx?sid=284 ; https://consumer.fda.gov.tw/Food/TFND.aspx?nodeID=178</x:v>
      </x:c>
    </x:row>
    <x:row r="354">
      <x:c r="A354" s="47" t="str">
        <x:v>VG055</x:v>
      </x:c>
      <x:c r="B354" s="47" t="str">
        <x:v>蔬菜</x:v>
      </x:c>
      <x:c r="C354" s="47" t="str">
        <x:v>小黃瓜（熟）</x:v>
      </x:c>
      <x:c r="D354" s="47" t="str">
        <x:v>熟/可食部</x:v>
      </x:c>
      <x:c r="E354" s="48" t="n">
        <x:v>15</x:v>
      </x:c>
      <x:c r="F354" s="48" t="n">
        <x:v>0.7</x:v>
      </x:c>
      <x:c r="G354" s="48" t="n">
        <x:v>0.1</x:v>
      </x:c>
      <x:c r="H354" s="48" t="n">
        <x:v>3.6</x:v>
      </x:c>
      <x:c r="I354" s="49" t="n">
        <x:v>2</x:v>
      </x:c>
      <x:c r="J354" s="47" t="str">
        <x:v>USDA FDC / Taiwan FDA / estimate</x:v>
      </x:c>
      <x:c r="K354" s="47"/>
      <x:c r="L354" s="47" t="str">
        <x:v>https://fdc.nal.usda.gov/ ; https://www.fda.gov.tw/tc/siteList.aspx?sid=284 ; https://consumer.fda.gov.tw/Food/TFND.aspx?nodeID=178</x:v>
      </x:c>
    </x:row>
    <x:row r="355">
      <x:c r="A355" s="47" t="str">
        <x:v>VG056</x:v>
      </x:c>
      <x:c r="B355" s="47" t="str">
        <x:v>蔬菜</x:v>
      </x:c>
      <x:c r="C355" s="47" t="str">
        <x:v>絲瓜（熟）</x:v>
      </x:c>
      <x:c r="D355" s="47" t="str">
        <x:v>熟/可食部</x:v>
      </x:c>
      <x:c r="E355" s="48" t="n">
        <x:v>20</x:v>
      </x:c>
      <x:c r="F355" s="48" t="n">
        <x:v>0.7</x:v>
      </x:c>
      <x:c r="G355" s="48" t="n">
        <x:v>0.2</x:v>
      </x:c>
      <x:c r="H355" s="48" t="n">
        <x:v>4</x:v>
      </x:c>
      <x:c r="I355" s="49" t="n">
        <x:v>2</x:v>
      </x:c>
      <x:c r="J355" s="47" t="str">
        <x:v>USDA FDC / Taiwan FDA / estimate</x:v>
      </x:c>
      <x:c r="K355" s="47"/>
      <x:c r="L355" s="47" t="str">
        <x:v>https://fdc.nal.usda.gov/ ; https://www.fda.gov.tw/tc/siteList.aspx?sid=284 ; https://consumer.fda.gov.tw/Food/TFND.aspx?nodeID=178</x:v>
      </x:c>
    </x:row>
    <x:row r="356">
      <x:c r="A356" s="47" t="str">
        <x:v>VG057</x:v>
      </x:c>
      <x:c r="B356" s="47" t="str">
        <x:v>蔬菜</x:v>
      </x:c>
      <x:c r="C356" s="47" t="str">
        <x:v>苦瓜（熟）</x:v>
      </x:c>
      <x:c r="D356" s="47" t="str">
        <x:v>熟/可食部</x:v>
      </x:c>
      <x:c r="E356" s="48" t="n">
        <x:v>19</x:v>
      </x:c>
      <x:c r="F356" s="48" t="n">
        <x:v>0.8</x:v>
      </x:c>
      <x:c r="G356" s="48" t="n">
        <x:v>0.2</x:v>
      </x:c>
      <x:c r="H356" s="48" t="n">
        <x:v>4.3</x:v>
      </x:c>
      <x:c r="I356" s="49" t="n">
        <x:v>3</x:v>
      </x:c>
      <x:c r="J356" s="47" t="str">
        <x:v>USDA FDC / Taiwan FDA / estimate</x:v>
      </x:c>
      <x:c r="K356" s="47"/>
      <x:c r="L356" s="47" t="str">
        <x:v>https://fdc.nal.usda.gov/ ; https://www.fda.gov.tw/tc/siteList.aspx?sid=284 ; https://consumer.fda.gov.tw/Food/TFND.aspx?nodeID=178</x:v>
      </x:c>
    </x:row>
    <x:row r="357">
      <x:c r="A357" s="47" t="str">
        <x:v>VG058</x:v>
      </x:c>
      <x:c r="B357" s="47" t="str">
        <x:v>蔬菜</x:v>
      </x:c>
      <x:c r="C357" s="47" t="str">
        <x:v>冬瓜（熟）</x:v>
      </x:c>
      <x:c r="D357" s="47" t="str">
        <x:v>熟/可食部</x:v>
      </x:c>
      <x:c r="E357" s="48" t="n">
        <x:v>13</x:v>
      </x:c>
      <x:c r="F357" s="48" t="n">
        <x:v>0.4</x:v>
      </x:c>
      <x:c r="G357" s="48" t="n">
        <x:v>0.2</x:v>
      </x:c>
      <x:c r="H357" s="48" t="n">
        <x:v>3</x:v>
      </x:c>
      <x:c r="I357" s="49" t="n">
        <x:v>2</x:v>
      </x:c>
      <x:c r="J357" s="47" t="str">
        <x:v>USDA FDC / Taiwan FDA / estimate</x:v>
      </x:c>
      <x:c r="K357" s="47"/>
      <x:c r="L357" s="47" t="str">
        <x:v>https://fdc.nal.usda.gov/ ; https://www.fda.gov.tw/tc/siteList.aspx?sid=284 ; https://consumer.fda.gov.tw/Food/TFND.aspx?nodeID=178</x:v>
      </x:c>
    </x:row>
    <x:row r="358">
      <x:c r="A358" s="47" t="str">
        <x:v>VG059</x:v>
      </x:c>
      <x:c r="B358" s="47" t="str">
        <x:v>蔬菜</x:v>
      </x:c>
      <x:c r="C358" s="47" t="str">
        <x:v>胡瓜/大黃瓜（熟）</x:v>
      </x:c>
      <x:c r="D358" s="47" t="str">
        <x:v>熟/可食部</x:v>
      </x:c>
      <x:c r="E358" s="48" t="n">
        <x:v>15</x:v>
      </x:c>
      <x:c r="F358" s="48" t="n">
        <x:v>0.7</x:v>
      </x:c>
      <x:c r="G358" s="48" t="n">
        <x:v>0.1</x:v>
      </x:c>
      <x:c r="H358" s="48" t="n">
        <x:v>3.6</x:v>
      </x:c>
      <x:c r="I358" s="49" t="n">
        <x:v>2</x:v>
      </x:c>
      <x:c r="J358" s="47" t="str">
        <x:v>USDA FDC / Taiwan FDA / estimate</x:v>
      </x:c>
      <x:c r="K358" s="47"/>
      <x:c r="L358" s="47" t="str">
        <x:v>https://fdc.nal.usda.gov/ ; https://www.fda.gov.tw/tc/siteList.aspx?sid=284 ; https://consumer.fda.gov.tw/Food/TFND.aspx?nodeID=178</x:v>
      </x:c>
    </x:row>
    <x:row r="359">
      <x:c r="A359" s="47" t="str">
        <x:v>VG060</x:v>
      </x:c>
      <x:c r="B359" s="47" t="str">
        <x:v>蔬菜</x:v>
      </x:c>
      <x:c r="C359" s="47" t="str">
        <x:v>南瓜（生）</x:v>
      </x:c>
      <x:c r="D359" s="47" t="str">
        <x:v>生/可食部</x:v>
      </x:c>
      <x:c r="E359" s="48" t="n">
        <x:v>26</x:v>
      </x:c>
      <x:c r="F359" s="48" t="n">
        <x:v>1</x:v>
      </x:c>
      <x:c r="G359" s="48" t="n">
        <x:v>0.1</x:v>
      </x:c>
      <x:c r="H359" s="48" t="n">
        <x:v>6.5</x:v>
      </x:c>
      <x:c r="I359" s="49" t="n">
        <x:v>1</x:v>
      </x:c>
      <x:c r="J359" s="47" t="str">
        <x:v>USDA FDC / Taiwan FDA / estimate</x:v>
      </x:c>
      <x:c r="K359" s="47"/>
      <x:c r="L359" s="47" t="str">
        <x:v>https://fdc.nal.usda.gov/ ; https://www.fda.gov.tw/tc/siteList.aspx?sid=284 ; https://consumer.fda.gov.tw/Food/TFND.aspx?nodeID=178</x:v>
      </x:c>
    </x:row>
    <x:row r="360">
      <x:c r="A360" s="47" t="str">
        <x:v>VG061</x:v>
      </x:c>
      <x:c r="B360" s="47" t="str">
        <x:v>蔬菜</x:v>
      </x:c>
      <x:c r="C360" s="47" t="str">
        <x:v>櫛瓜（生）</x:v>
      </x:c>
      <x:c r="D360" s="47" t="str">
        <x:v>生/可食部</x:v>
      </x:c>
      <x:c r="E360" s="48" t="n">
        <x:v>17</x:v>
      </x:c>
      <x:c r="F360" s="48" t="n">
        <x:v>1.2</x:v>
      </x:c>
      <x:c r="G360" s="48" t="n">
        <x:v>0.3</x:v>
      </x:c>
      <x:c r="H360" s="48" t="n">
        <x:v>3.1</x:v>
      </x:c>
      <x:c r="I360" s="49" t="n">
        <x:v>8</x:v>
      </x:c>
      <x:c r="J360" s="47" t="str">
        <x:v>USDA FDC / Taiwan FDA / estimate</x:v>
      </x:c>
      <x:c r="K360" s="47"/>
      <x:c r="L360" s="47" t="str">
        <x:v>https://fdc.nal.usda.gov/ ; https://www.fda.gov.tw/tc/siteList.aspx?sid=284 ; https://consumer.fda.gov.tw/Food/TFND.aspx?nodeID=178</x:v>
      </x:c>
    </x:row>
    <x:row r="361">
      <x:c r="A361" s="47" t="str">
        <x:v>VG062</x:v>
      </x:c>
      <x:c r="B361" s="47" t="str">
        <x:v>蔬菜</x:v>
      </x:c>
      <x:c r="C361" s="47" t="str">
        <x:v>茄子（生）</x:v>
      </x:c>
      <x:c r="D361" s="47" t="str">
        <x:v>生/可食部</x:v>
      </x:c>
      <x:c r="E361" s="48" t="n">
        <x:v>25</x:v>
      </x:c>
      <x:c r="F361" s="48" t="n">
        <x:v>1</x:v>
      </x:c>
      <x:c r="G361" s="48" t="n">
        <x:v>0.2</x:v>
      </x:c>
      <x:c r="H361" s="48" t="n">
        <x:v>5.9</x:v>
      </x:c>
      <x:c r="I361" s="49" t="n">
        <x:v>2</x:v>
      </x:c>
      <x:c r="J361" s="47" t="str">
        <x:v>USDA FDC / Taiwan FDA / estimate</x:v>
      </x:c>
      <x:c r="K361" s="47"/>
      <x:c r="L361" s="47" t="str">
        <x:v>https://fdc.nal.usda.gov/ ; https://www.fda.gov.tw/tc/siteList.aspx?sid=284 ; https://consumer.fda.gov.tw/Food/TFND.aspx?nodeID=178</x:v>
      </x:c>
    </x:row>
    <x:row r="362">
      <x:c r="A362" s="47" t="str">
        <x:v>VG063</x:v>
      </x:c>
      <x:c r="B362" s="47" t="str">
        <x:v>蔬菜</x:v>
      </x:c>
      <x:c r="C362" s="47" t="str">
        <x:v>白蘿蔔（生）</x:v>
      </x:c>
      <x:c r="D362" s="47" t="str">
        <x:v>生/可食部</x:v>
      </x:c>
      <x:c r="E362" s="48" t="n">
        <x:v>18</x:v>
      </x:c>
      <x:c r="F362" s="48" t="n">
        <x:v>0.6</x:v>
      </x:c>
      <x:c r="G362" s="48" t="n">
        <x:v>0.1</x:v>
      </x:c>
      <x:c r="H362" s="48" t="n">
        <x:v>4.1</x:v>
      </x:c>
      <x:c r="I362" s="49" t="n">
        <x:v>21</x:v>
      </x:c>
      <x:c r="J362" s="47" t="str">
        <x:v>USDA FDC / Taiwan FDA / estimate</x:v>
      </x:c>
      <x:c r="K362" s="47"/>
      <x:c r="L362" s="47" t="str">
        <x:v>https://fdc.nal.usda.gov/ ; https://www.fda.gov.tw/tc/siteList.aspx?sid=284 ; https://consumer.fda.gov.tw/Food/TFND.aspx?nodeID=178</x:v>
      </x:c>
    </x:row>
    <x:row r="363">
      <x:c r="A363" s="47" t="str">
        <x:v>VG064</x:v>
      </x:c>
      <x:c r="B363" s="47" t="str">
        <x:v>蔬菜</x:v>
      </x:c>
      <x:c r="C363" s="47" t="str">
        <x:v>白蘿蔔（熟）</x:v>
      </x:c>
      <x:c r="D363" s="47" t="str">
        <x:v>熟/可食部</x:v>
      </x:c>
      <x:c r="E363" s="48" t="n">
        <x:v>17</x:v>
      </x:c>
      <x:c r="F363" s="48" t="n">
        <x:v>0.7</x:v>
      </x:c>
      <x:c r="G363" s="48" t="n">
        <x:v>0.1</x:v>
      </x:c>
      <x:c r="H363" s="48" t="n">
        <x:v>4</x:v>
      </x:c>
      <x:c r="I363" s="49" t="n">
        <x:v>21</x:v>
      </x:c>
      <x:c r="J363" s="47" t="str">
        <x:v>USDA FDC / Taiwan FDA / estimate</x:v>
      </x:c>
      <x:c r="K363" s="47"/>
      <x:c r="L363" s="47" t="str">
        <x:v>https://fdc.nal.usda.gov/ ; https://www.fda.gov.tw/tc/siteList.aspx?sid=284 ; https://consumer.fda.gov.tw/Food/TFND.aspx?nodeID=178</x:v>
      </x:c>
    </x:row>
    <x:row r="364">
      <x:c r="A364" s="47" t="str">
        <x:v>VG065</x:v>
      </x:c>
      <x:c r="B364" s="47" t="str">
        <x:v>蔬菜</x:v>
      </x:c>
      <x:c r="C364" s="47" t="str">
        <x:v>紅蘿蔔（生）</x:v>
      </x:c>
      <x:c r="D364" s="47" t="str">
        <x:v>生/可食部</x:v>
      </x:c>
      <x:c r="E364" s="48" t="n">
        <x:v>41</x:v>
      </x:c>
      <x:c r="F364" s="48" t="n">
        <x:v>0.9</x:v>
      </x:c>
      <x:c r="G364" s="48" t="n">
        <x:v>0.2</x:v>
      </x:c>
      <x:c r="H364" s="48" t="n">
        <x:v>9.6</x:v>
      </x:c>
      <x:c r="I364" s="49" t="n">
        <x:v>69</x:v>
      </x:c>
      <x:c r="J364" s="47" t="str">
        <x:v>USDA FDC / Taiwan FDA / estimate</x:v>
      </x:c>
      <x:c r="K364" s="47"/>
      <x:c r="L364" s="47" t="str">
        <x:v>https://fdc.nal.usda.gov/ ; https://www.fda.gov.tw/tc/siteList.aspx?sid=284 ; https://consumer.fda.gov.tw/Food/TFND.aspx?nodeID=178</x:v>
      </x:c>
    </x:row>
    <x:row r="365">
      <x:c r="A365" s="47" t="str">
        <x:v>VG066</x:v>
      </x:c>
      <x:c r="B365" s="47" t="str">
        <x:v>蔬菜</x:v>
      </x:c>
      <x:c r="C365" s="47" t="str">
        <x:v>牛蒡（熟）</x:v>
      </x:c>
      <x:c r="D365" s="47" t="str">
        <x:v>熟/可食部</x:v>
      </x:c>
      <x:c r="E365" s="48" t="n">
        <x:v>72</x:v>
      </x:c>
      <x:c r="F365" s="48" t="n">
        <x:v>1.5</x:v>
      </x:c>
      <x:c r="G365" s="48" t="n">
        <x:v>0.2</x:v>
      </x:c>
      <x:c r="H365" s="48" t="n">
        <x:v>17.3</x:v>
      </x:c>
      <x:c r="I365" s="49" t="n">
        <x:v>5</x:v>
      </x:c>
      <x:c r="J365" s="47" t="str">
        <x:v>USDA FDC / Taiwan FDA / estimate</x:v>
      </x:c>
      <x:c r="K365" s="47"/>
      <x:c r="L365" s="47" t="str">
        <x:v>https://fdc.nal.usda.gov/ ; https://www.fda.gov.tw/tc/siteList.aspx?sid=284 ; https://consumer.fda.gov.tw/Food/TFND.aspx?nodeID=178</x:v>
      </x:c>
    </x:row>
    <x:row r="366">
      <x:c r="A366" s="47" t="str">
        <x:v>VG067</x:v>
      </x:c>
      <x:c r="B366" s="47" t="str">
        <x:v>蔬菜</x:v>
      </x:c>
      <x:c r="C366" s="47" t="str">
        <x:v>竹筍（熟）</x:v>
      </x:c>
      <x:c r="D366" s="47" t="str">
        <x:v>熟/可食部</x:v>
      </x:c>
      <x:c r="E366" s="48" t="n">
        <x:v>27</x:v>
      </x:c>
      <x:c r="F366" s="48" t="n">
        <x:v>2.6</x:v>
      </x:c>
      <x:c r="G366" s="48" t="n">
        <x:v>0.3</x:v>
      </x:c>
      <x:c r="H366" s="48" t="n">
        <x:v>5.2</x:v>
      </x:c>
      <x:c r="I366" s="49" t="n">
        <x:v>4</x:v>
      </x:c>
      <x:c r="J366" s="47" t="str">
        <x:v>USDA FDC / Taiwan FDA / estimate</x:v>
      </x:c>
      <x:c r="K366" s="47"/>
      <x:c r="L366" s="47" t="str">
        <x:v>https://fdc.nal.usda.gov/ ; https://www.fda.gov.tw/tc/siteList.aspx?sid=284 ; https://consumer.fda.gov.tw/Food/TFND.aspx?nodeID=178</x:v>
      </x:c>
    </x:row>
    <x:row r="367">
      <x:c r="A367" s="47" t="str">
        <x:v>VG068</x:v>
      </x:c>
      <x:c r="B367" s="47" t="str">
        <x:v>蔬菜</x:v>
      </x:c>
      <x:c r="C367" s="47" t="str">
        <x:v>綠竹筍（熟）</x:v>
      </x:c>
      <x:c r="D367" s="47" t="str">
        <x:v>熟/可食部</x:v>
      </x:c>
      <x:c r="E367" s="48" t="n">
        <x:v>27</x:v>
      </x:c>
      <x:c r="F367" s="48" t="n">
        <x:v>2.6</x:v>
      </x:c>
      <x:c r="G367" s="48" t="n">
        <x:v>0.3</x:v>
      </x:c>
      <x:c r="H367" s="48" t="n">
        <x:v>5.2</x:v>
      </x:c>
      <x:c r="I367" s="49" t="n">
        <x:v>4</x:v>
      </x:c>
      <x:c r="J367" s="47" t="str">
        <x:v>USDA FDC / Taiwan FDA / estimate</x:v>
      </x:c>
      <x:c r="K367" s="47"/>
      <x:c r="L367" s="47" t="str">
        <x:v>https://fdc.nal.usda.gov/ ; https://www.fda.gov.tw/tc/siteList.aspx?sid=284 ; https://consumer.fda.gov.tw/Food/TFND.aspx?nodeID=178</x:v>
      </x:c>
    </x:row>
    <x:row r="368">
      <x:c r="A368" s="47" t="str">
        <x:v>VG069</x:v>
      </x:c>
      <x:c r="B368" s="47" t="str">
        <x:v>蔬菜</x:v>
      </x:c>
      <x:c r="C368" s="47" t="str">
        <x:v>筊白筍（熟）</x:v>
      </x:c>
      <x:c r="D368" s="47" t="str">
        <x:v>熟/可食部</x:v>
      </x:c>
      <x:c r="E368" s="48" t="n">
        <x:v>23</x:v>
      </x:c>
      <x:c r="F368" s="48" t="n">
        <x:v>1.2</x:v>
      </x:c>
      <x:c r="G368" s="48" t="n">
        <x:v>0.2</x:v>
      </x:c>
      <x:c r="H368" s="48" t="n">
        <x:v>5</x:v>
      </x:c>
      <x:c r="I368" s="49" t="n">
        <x:v>3</x:v>
      </x:c>
      <x:c r="J368" s="47" t="str">
        <x:v>USDA FDC / Taiwan FDA / estimate</x:v>
      </x:c>
      <x:c r="K368" s="47"/>
      <x:c r="L368" s="47" t="str">
        <x:v>https://fdc.nal.usda.gov/ ; https://www.fda.gov.tw/tc/siteList.aspx?sid=284 ; https://consumer.fda.gov.tw/Food/TFND.aspx?nodeID=178</x:v>
      </x:c>
    </x:row>
    <x:row r="369">
      <x:c r="A369" s="47" t="str">
        <x:v>VG070</x:v>
      </x:c>
      <x:c r="B369" s="47" t="str">
        <x:v>蔬菜</x:v>
      </x:c>
      <x:c r="C369" s="47" t="str">
        <x:v>蘆筍（生）</x:v>
      </x:c>
      <x:c r="D369" s="47" t="str">
        <x:v>生/可食部</x:v>
      </x:c>
      <x:c r="E369" s="48" t="n">
        <x:v>20</x:v>
      </x:c>
      <x:c r="F369" s="48" t="n">
        <x:v>2.2</x:v>
      </x:c>
      <x:c r="G369" s="48" t="n">
        <x:v>0.1</x:v>
      </x:c>
      <x:c r="H369" s="48" t="n">
        <x:v>3.9</x:v>
      </x:c>
      <x:c r="I369" s="49" t="n">
        <x:v>2</x:v>
      </x:c>
      <x:c r="J369" s="47" t="str">
        <x:v>USDA FDC / Taiwan FDA / estimate</x:v>
      </x:c>
      <x:c r="K369" s="47"/>
      <x:c r="L369" s="47" t="str">
        <x:v>https://fdc.nal.usda.gov/ ; https://www.fda.gov.tw/tc/siteList.aspx?sid=284 ; https://consumer.fda.gov.tw/Food/TFND.aspx?nodeID=178</x:v>
      </x:c>
    </x:row>
    <x:row r="370">
      <x:c r="A370" s="47" t="str">
        <x:v>VG071</x:v>
      </x:c>
      <x:c r="B370" s="47" t="str">
        <x:v>蔬菜</x:v>
      </x:c>
      <x:c r="C370" s="47" t="str">
        <x:v>玉米筍（熟）</x:v>
      </x:c>
      <x:c r="D370" s="47" t="str">
        <x:v>熟/可食部</x:v>
      </x:c>
      <x:c r="E370" s="48" t="n">
        <x:v>26</x:v>
      </x:c>
      <x:c r="F370" s="48" t="n">
        <x:v>2</x:v>
      </x:c>
      <x:c r="G370" s="48" t="n">
        <x:v>0.3</x:v>
      </x:c>
      <x:c r="H370" s="48" t="n">
        <x:v>5</x:v>
      </x:c>
      <x:c r="I370" s="49" t="n">
        <x:v>5</x:v>
      </x:c>
      <x:c r="J370" s="47" t="str">
        <x:v>USDA FDC / Taiwan FDA / estimate</x:v>
      </x:c>
      <x:c r="K370" s="47"/>
      <x:c r="L370" s="47" t="str">
        <x:v>https://fdc.nal.usda.gov/ ; https://www.fda.gov.tw/tc/siteList.aspx?sid=284 ; https://consumer.fda.gov.tw/Food/TFND.aspx?nodeID=178</x:v>
      </x:c>
    </x:row>
    <x:row r="371">
      <x:c r="A371" s="47" t="str">
        <x:v>VG072</x:v>
      </x:c>
      <x:c r="B371" s="47" t="str">
        <x:v>蔬菜</x:v>
      </x:c>
      <x:c r="C371" s="47" t="str">
        <x:v>秋葵（熟）</x:v>
      </x:c>
      <x:c r="D371" s="47" t="str">
        <x:v>熟/可食部</x:v>
      </x:c>
      <x:c r="E371" s="48" t="n">
        <x:v>22</x:v>
      </x:c>
      <x:c r="F371" s="48" t="n">
        <x:v>1.9</x:v>
      </x:c>
      <x:c r="G371" s="48" t="n">
        <x:v>0.2</x:v>
      </x:c>
      <x:c r="H371" s="48" t="n">
        <x:v>4.5</x:v>
      </x:c>
      <x:c r="I371" s="49" t="n">
        <x:v>6</x:v>
      </x:c>
      <x:c r="J371" s="47" t="str">
        <x:v>USDA FDC / Taiwan FDA / estimate</x:v>
      </x:c>
      <x:c r="K371" s="47"/>
      <x:c r="L371" s="47" t="str">
        <x:v>https://fdc.nal.usda.gov/ ; https://www.fda.gov.tw/tc/siteList.aspx?sid=284 ; https://consumer.fda.gov.tw/Food/TFND.aspx?nodeID=178</x:v>
      </x:c>
    </x:row>
    <x:row r="372">
      <x:c r="A372" s="47" t="str">
        <x:v>VG073</x:v>
      </x:c>
      <x:c r="B372" s="47" t="str">
        <x:v>蔬菜</x:v>
      </x:c>
      <x:c r="C372" s="47" t="str">
        <x:v>四季豆（生）</x:v>
      </x:c>
      <x:c r="D372" s="47" t="str">
        <x:v>生/可食部</x:v>
      </x:c>
      <x:c r="E372" s="48" t="n">
        <x:v>31</x:v>
      </x:c>
      <x:c r="F372" s="48" t="n">
        <x:v>1.8</x:v>
      </x:c>
      <x:c r="G372" s="48" t="n">
        <x:v>0.2</x:v>
      </x:c>
      <x:c r="H372" s="48" t="n">
        <x:v>7</x:v>
      </x:c>
      <x:c r="I372" s="49" t="n">
        <x:v>6</x:v>
      </x:c>
      <x:c r="J372" s="47" t="str">
        <x:v>USDA FDC / Taiwan FDA / estimate</x:v>
      </x:c>
      <x:c r="K372" s="47"/>
      <x:c r="L372" s="47" t="str">
        <x:v>https://fdc.nal.usda.gov/ ; https://www.fda.gov.tw/tc/siteList.aspx?sid=284 ; https://consumer.fda.gov.tw/Food/TFND.aspx?nodeID=178</x:v>
      </x:c>
    </x:row>
    <x:row r="373">
      <x:c r="A373" s="47" t="str">
        <x:v>VG074</x:v>
      </x:c>
      <x:c r="B373" s="47" t="str">
        <x:v>蔬菜</x:v>
      </x:c>
      <x:c r="C373" s="47" t="str">
        <x:v>菜豆/長豆（熟）</x:v>
      </x:c>
      <x:c r="D373" s="47" t="str">
        <x:v>熟/可食部</x:v>
      </x:c>
      <x:c r="E373" s="48" t="n">
        <x:v>47</x:v>
      </x:c>
      <x:c r="F373" s="48" t="n">
        <x:v>2.8</x:v>
      </x:c>
      <x:c r="G373" s="48" t="n">
        <x:v>0.4</x:v>
      </x:c>
      <x:c r="H373" s="48" t="n">
        <x:v>8.4</x:v>
      </x:c>
      <x:c r="I373" s="49" t="n">
        <x:v>4</x:v>
      </x:c>
      <x:c r="J373" s="47" t="str">
        <x:v>USDA FDC / Taiwan FDA / estimate</x:v>
      </x:c>
      <x:c r="K373" s="47"/>
      <x:c r="L373" s="47" t="str">
        <x:v>https://fdc.nal.usda.gov/ ; https://www.fda.gov.tw/tc/siteList.aspx?sid=284 ; https://consumer.fda.gov.tw/Food/TFND.aspx?nodeID=178</x:v>
      </x:c>
    </x:row>
    <x:row r="374">
      <x:c r="A374" s="47" t="str">
        <x:v>VG075</x:v>
      </x:c>
      <x:c r="B374" s="47" t="str">
        <x:v>蔬菜</x:v>
      </x:c>
      <x:c r="C374" s="47" t="str">
        <x:v>花椰菜米</x:v>
      </x:c>
      <x:c r="D374" s="47" t="str">
        <x:v>生/可食部</x:v>
      </x:c>
      <x:c r="E374" s="48" t="n">
        <x:v>25</x:v>
      </x:c>
      <x:c r="F374" s="48" t="n">
        <x:v>1.9</x:v>
      </x:c>
      <x:c r="G374" s="48" t="n">
        <x:v>0.3</x:v>
      </x:c>
      <x:c r="H374" s="48" t="n">
        <x:v>5</x:v>
      </x:c>
      <x:c r="I374" s="49" t="n">
        <x:v>15</x:v>
      </x:c>
      <x:c r="J374" s="47" t="str">
        <x:v>USDA FDC / Taiwan FDA / estimate</x:v>
      </x:c>
      <x:c r="K374" s="47"/>
      <x:c r="L374" s="47" t="str">
        <x:v>https://fdc.nal.usda.gov/ ; https://www.fda.gov.tw/tc/siteList.aspx?sid=284 ; https://consumer.fda.gov.tw/Food/TFND.aspx?nodeID=178</x:v>
      </x:c>
    </x:row>
    <x:row r="375">
      <x:c r="A375" s="47" t="str">
        <x:v>VG076</x:v>
      </x:c>
      <x:c r="B375" s="47" t="str">
        <x:v>蔬菜</x:v>
      </x:c>
      <x:c r="C375" s="47" t="str">
        <x:v>青花菜（生）</x:v>
      </x:c>
      <x:c r="D375" s="47" t="str">
        <x:v>生/可食部</x:v>
      </x:c>
      <x:c r="E375" s="48" t="n">
        <x:v>34</x:v>
      </x:c>
      <x:c r="F375" s="48" t="n">
        <x:v>2.8</x:v>
      </x:c>
      <x:c r="G375" s="48" t="n">
        <x:v>0.4</x:v>
      </x:c>
      <x:c r="H375" s="48" t="n">
        <x:v>6.6</x:v>
      </x:c>
      <x:c r="I375" s="49" t="n">
        <x:v>33</x:v>
      </x:c>
      <x:c r="J375" s="47" t="str">
        <x:v>USDA FDC / Taiwan FDA / estimate</x:v>
      </x:c>
      <x:c r="K375" s="47"/>
      <x:c r="L375" s="47" t="str">
        <x:v>https://fdc.nal.usda.gov/ ; https://www.fda.gov.tw/tc/siteList.aspx?sid=284 ; https://consumer.fda.gov.tw/Food/TFND.aspx?nodeID=178</x:v>
      </x:c>
    </x:row>
    <x:row r="376">
      <x:c r="A376" s="47" t="str">
        <x:v>VG077</x:v>
      </x:c>
      <x:c r="B376" s="47" t="str">
        <x:v>蔬菜</x:v>
      </x:c>
      <x:c r="C376" s="47" t="str">
        <x:v>白花椰菜（生）</x:v>
      </x:c>
      <x:c r="D376" s="47" t="str">
        <x:v>生/可食部</x:v>
      </x:c>
      <x:c r="E376" s="48" t="n">
        <x:v>25</x:v>
      </x:c>
      <x:c r="F376" s="48" t="n">
        <x:v>1.9</x:v>
      </x:c>
      <x:c r="G376" s="48" t="n">
        <x:v>0.3</x:v>
      </x:c>
      <x:c r="H376" s="48" t="n">
        <x:v>5</x:v>
      </x:c>
      <x:c r="I376" s="49" t="n">
        <x:v>30</x:v>
      </x:c>
      <x:c r="J376" s="47" t="str">
        <x:v>USDA FDC / Taiwan FDA / estimate</x:v>
      </x:c>
      <x:c r="K376" s="47"/>
      <x:c r="L376" s="47" t="str">
        <x:v>https://fdc.nal.usda.gov/ ; https://www.fda.gov.tw/tc/siteList.aspx?sid=284 ; https://consumer.fda.gov.tw/Food/TFND.aspx?nodeID=178</x:v>
      </x:c>
    </x:row>
    <x:row r="377">
      <x:c r="A377" s="47" t="str">
        <x:v>VG078</x:v>
      </x:c>
      <x:c r="B377" s="47" t="str">
        <x:v>蔬菜</x:v>
      </x:c>
      <x:c r="C377" s="47" t="str">
        <x:v>菠菜（生）</x:v>
      </x:c>
      <x:c r="D377" s="47" t="str">
        <x:v>生/可食部</x:v>
      </x:c>
      <x:c r="E377" s="48" t="n">
        <x:v>23</x:v>
      </x:c>
      <x:c r="F377" s="48" t="n">
        <x:v>2.9</x:v>
      </x:c>
      <x:c r="G377" s="48" t="n">
        <x:v>0.4</x:v>
      </x:c>
      <x:c r="H377" s="48" t="n">
        <x:v>3.6</x:v>
      </x:c>
      <x:c r="I377" s="49" t="n">
        <x:v>79</x:v>
      </x:c>
      <x:c r="J377" s="47" t="str">
        <x:v>USDA FDC / Taiwan FDA / estimate</x:v>
      </x:c>
      <x:c r="K377" s="47"/>
      <x:c r="L377" s="47" t="str">
        <x:v>https://fdc.nal.usda.gov/ ; https://www.fda.gov.tw/tc/siteList.aspx?sid=284 ; https://consumer.fda.gov.tw/Food/TFND.aspx?nodeID=178</x:v>
      </x:c>
    </x:row>
    <x:row r="378">
      <x:c r="A378" s="47" t="str">
        <x:v>VG079</x:v>
      </x:c>
      <x:c r="B378" s="47" t="str">
        <x:v>蔬菜</x:v>
      </x:c>
      <x:c r="C378" s="47" t="str">
        <x:v>空心菜（生）</x:v>
      </x:c>
      <x:c r="D378" s="47" t="str">
        <x:v>生/可食部</x:v>
      </x:c>
      <x:c r="E378" s="48" t="n">
        <x:v>19</x:v>
      </x:c>
      <x:c r="F378" s="48" t="n">
        <x:v>2.6</x:v>
      </x:c>
      <x:c r="G378" s="48" t="n">
        <x:v>0.2</x:v>
      </x:c>
      <x:c r="H378" s="48" t="n">
        <x:v>3.1</x:v>
      </x:c>
      <x:c r="I378" s="49" t="n">
        <x:v>113</x:v>
      </x:c>
      <x:c r="J378" s="47" t="str">
        <x:v>USDA FDC / Taiwan FDA / estimate</x:v>
      </x:c>
      <x:c r="K378" s="47"/>
      <x:c r="L378" s="47" t="str">
        <x:v>https://fdc.nal.usda.gov/ ; https://www.fda.gov.tw/tc/siteList.aspx?sid=284 ; https://consumer.fda.gov.tw/Food/TFND.aspx?nodeID=178</x:v>
      </x:c>
    </x:row>
    <x:row r="379">
      <x:c r="A379" s="47" t="str">
        <x:v>VG080</x:v>
      </x:c>
      <x:c r="B379" s="47" t="str">
        <x:v>蔬菜</x:v>
      </x:c>
      <x:c r="C379" s="47" t="str">
        <x:v>地瓜葉（生）</x:v>
      </x:c>
      <x:c r="D379" s="47" t="str">
        <x:v>生/可食部</x:v>
      </x:c>
      <x:c r="E379" s="48" t="n">
        <x:v>35</x:v>
      </x:c>
      <x:c r="F379" s="48" t="n">
        <x:v>2.5</x:v>
      </x:c>
      <x:c r="G379" s="48" t="n">
        <x:v>0.5</x:v>
      </x:c>
      <x:c r="H379" s="48" t="n">
        <x:v>7</x:v>
      </x:c>
      <x:c r="I379" s="49" t="n">
        <x:v>30</x:v>
      </x:c>
      <x:c r="J379" s="47" t="str">
        <x:v>USDA FDC / Taiwan FDA / estimate</x:v>
      </x:c>
      <x:c r="K379" s="47"/>
      <x:c r="L379" s="47" t="str">
        <x:v>https://fdc.nal.usda.gov/ ; https://www.fda.gov.tw/tc/siteList.aspx?sid=284 ; https://consumer.fda.gov.tw/Food/TFND.aspx?nodeID=178</x:v>
      </x:c>
    </x:row>
    <x:row r="380">
      <x:c r="A380" s="47" t="str">
        <x:v>VG081</x:v>
      </x:c>
      <x:c r="B380" s="47" t="str">
        <x:v>蔬菜</x:v>
      </x:c>
      <x:c r="C380" s="47" t="str">
        <x:v>小白菜（生）</x:v>
      </x:c>
      <x:c r="D380" s="47" t="str">
        <x:v>生/可食部</x:v>
      </x:c>
      <x:c r="E380" s="48" t="n">
        <x:v>13</x:v>
      </x:c>
      <x:c r="F380" s="48" t="n">
        <x:v>1.5</x:v>
      </x:c>
      <x:c r="G380" s="48" t="n">
        <x:v>0.2</x:v>
      </x:c>
      <x:c r="H380" s="48" t="n">
        <x:v>2.2</x:v>
      </x:c>
      <x:c r="I380" s="49" t="n">
        <x:v>8</x:v>
      </x:c>
      <x:c r="J380" s="47" t="str">
        <x:v>USDA FDC / Taiwan FDA / estimate</x:v>
      </x:c>
      <x:c r="K380" s="47"/>
      <x:c r="L380" s="47" t="str">
        <x:v>https://fdc.nal.usda.gov/ ; https://www.fda.gov.tw/tc/siteList.aspx?sid=284 ; https://consumer.fda.gov.tw/Food/TFND.aspx?nodeID=178</x:v>
      </x:c>
    </x:row>
    <x:row r="381">
      <x:c r="A381" s="47" t="str">
        <x:v>VG082</x:v>
      </x:c>
      <x:c r="B381" s="47" t="str">
        <x:v>蔬菜</x:v>
      </x:c>
      <x:c r="C381" s="47" t="str">
        <x:v>油菜（生）</x:v>
      </x:c>
      <x:c r="D381" s="47" t="str">
        <x:v>生/可食部</x:v>
      </x:c>
      <x:c r="E381" s="48" t="n">
        <x:v>22</x:v>
      </x:c>
      <x:c r="F381" s="48" t="n">
        <x:v>2.1</x:v>
      </x:c>
      <x:c r="G381" s="48" t="n">
        <x:v>0.3</x:v>
      </x:c>
      <x:c r="H381" s="48" t="n">
        <x:v>3.8</x:v>
      </x:c>
      <x:c r="I381" s="49" t="n">
        <x:v>33</x:v>
      </x:c>
      <x:c r="J381" s="47" t="str">
        <x:v>USDA FDC / Taiwan FDA / estimate</x:v>
      </x:c>
      <x:c r="K381" s="47"/>
      <x:c r="L381" s="47" t="str">
        <x:v>https://fdc.nal.usda.gov/ ; https://www.fda.gov.tw/tc/siteList.aspx?sid=284 ; https://consumer.fda.gov.tw/Food/TFND.aspx?nodeID=178</x:v>
      </x:c>
    </x:row>
    <x:row r="382">
      <x:c r="A382" s="47" t="str">
        <x:v>VG083</x:v>
      </x:c>
      <x:c r="B382" s="47" t="str">
        <x:v>蔬菜</x:v>
      </x:c>
      <x:c r="C382" s="47" t="str">
        <x:v>大陸妹（生）</x:v>
      </x:c>
      <x:c r="D382" s="47" t="str">
        <x:v>生/可食部</x:v>
      </x:c>
      <x:c r="E382" s="48" t="n">
        <x:v>15</x:v>
      </x:c>
      <x:c r="F382" s="48" t="n">
        <x:v>1.4</x:v>
      </x:c>
      <x:c r="G382" s="48" t="n">
        <x:v>0.2</x:v>
      </x:c>
      <x:c r="H382" s="48" t="n">
        <x:v>2.9</x:v>
      </x:c>
      <x:c r="I382" s="49" t="n">
        <x:v>28</x:v>
      </x:c>
      <x:c r="J382" s="47" t="str">
        <x:v>USDA FDC / Taiwan FDA / estimate</x:v>
      </x:c>
      <x:c r="K382" s="47"/>
      <x:c r="L382" s="47" t="str">
        <x:v>https://fdc.nal.usda.gov/ ; https://www.fda.gov.tw/tc/siteList.aspx?sid=284 ; https://consumer.fda.gov.tw/Food/TFND.aspx?nodeID=178</x:v>
      </x:c>
    </x:row>
    <x:row r="383">
      <x:c r="A383" s="47" t="str">
        <x:v>VG084</x:v>
      </x:c>
      <x:c r="B383" s="47" t="str">
        <x:v>蔬菜</x:v>
      </x:c>
      <x:c r="C383" s="47" t="str">
        <x:v>紅鳳菜（熟）</x:v>
      </x:c>
      <x:c r="D383" s="47" t="str">
        <x:v>熟/可食部</x:v>
      </x:c>
      <x:c r="E383" s="48" t="n">
        <x:v>32</x:v>
      </x:c>
      <x:c r="F383" s="48" t="n">
        <x:v>2</x:v>
      </x:c>
      <x:c r="G383" s="48" t="n">
        <x:v>0.4</x:v>
      </x:c>
      <x:c r="H383" s="48" t="n">
        <x:v>6</x:v>
      </x:c>
      <x:c r="I383" s="49" t="n">
        <x:v>30</x:v>
      </x:c>
      <x:c r="J383" s="47" t="str">
        <x:v>USDA FDC / Taiwan FDA / estimate</x:v>
      </x:c>
      <x:c r="K383" s="47"/>
      <x:c r="L383" s="47" t="str">
        <x:v>https://fdc.nal.usda.gov/ ; https://www.fda.gov.tw/tc/siteList.aspx?sid=284 ; https://consumer.fda.gov.tw/Food/TFND.aspx?nodeID=178</x:v>
      </x:c>
    </x:row>
    <x:row r="384">
      <x:c r="A384" s="47" t="str">
        <x:v>VG085</x:v>
      </x:c>
      <x:c r="B384" s="47" t="str">
        <x:v>蔬菜</x:v>
      </x:c>
      <x:c r="C384" s="47" t="str">
        <x:v>青蒜</x:v>
      </x:c>
      <x:c r="D384" s="47" t="str">
        <x:v>生/可食部</x:v>
      </x:c>
      <x:c r="E384" s="48" t="n">
        <x:v>61</x:v>
      </x:c>
      <x:c r="F384" s="48" t="n">
        <x:v>2</x:v>
      </x:c>
      <x:c r="G384" s="48" t="n">
        <x:v>0.3</x:v>
      </x:c>
      <x:c r="H384" s="48" t="n">
        <x:v>14</x:v>
      </x:c>
      <x:c r="I384" s="49" t="n">
        <x:v>17</x:v>
      </x:c>
      <x:c r="J384" s="47" t="str">
        <x:v>USDA FDC / Taiwan FDA / estimate</x:v>
      </x:c>
      <x:c r="K384" s="47"/>
      <x:c r="L384" s="47" t="str">
        <x:v>https://fdc.nal.usda.gov/ ; https://www.fda.gov.tw/tc/siteList.aspx?sid=284 ; https://consumer.fda.gov.tw/Food/TFND.aspx?nodeID=178</x:v>
      </x:c>
    </x:row>
    <x:row r="385">
      <x:c r="A385" s="47" t="str">
        <x:v>VG086</x:v>
      </x:c>
      <x:c r="B385" s="47" t="str">
        <x:v>蔬菜</x:v>
      </x:c>
      <x:c r="C385" s="47" t="str">
        <x:v>香菜</x:v>
      </x:c>
      <x:c r="D385" s="47" t="str">
        <x:v>生/可食部</x:v>
      </x:c>
      <x:c r="E385" s="48" t="n">
        <x:v>23</x:v>
      </x:c>
      <x:c r="F385" s="48" t="n">
        <x:v>2.1</x:v>
      </x:c>
      <x:c r="G385" s="48" t="n">
        <x:v>0.5</x:v>
      </x:c>
      <x:c r="H385" s="48" t="n">
        <x:v>3.7</x:v>
      </x:c>
      <x:c r="I385" s="49" t="n">
        <x:v>46</x:v>
      </x:c>
      <x:c r="J385" s="47" t="str">
        <x:v>USDA FDC / Taiwan FDA / estimate</x:v>
      </x:c>
      <x:c r="K385" s="47" t="str">
        <x:v>用量通常很小</x:v>
      </x:c>
      <x:c r="L385" s="47" t="str">
        <x:v>https://fdc.nal.usda.gov/ ; https://www.fda.gov.tw/tc/siteList.aspx?sid=284 ; https://consumer.fda.gov.tw/Food/TFND.aspx?nodeID=178</x:v>
      </x:c>
    </x:row>
    <x:row r="386">
      <x:c r="A386" s="47" t="str">
        <x:v>VG087</x:v>
      </x:c>
      <x:c r="B386" s="47" t="str">
        <x:v>蔬菜</x:v>
      </x:c>
      <x:c r="C386" s="47" t="str">
        <x:v>九層塔</x:v>
      </x:c>
      <x:c r="D386" s="47" t="str">
        <x:v>生/可食部</x:v>
      </x:c>
      <x:c r="E386" s="48" t="n">
        <x:v>23</x:v>
      </x:c>
      <x:c r="F386" s="48" t="n">
        <x:v>3.2</x:v>
      </x:c>
      <x:c r="G386" s="48" t="n">
        <x:v>0.6</x:v>
      </x:c>
      <x:c r="H386" s="48" t="n">
        <x:v>2.7</x:v>
      </x:c>
      <x:c r="I386" s="49" t="n">
        <x:v>4</x:v>
      </x:c>
      <x:c r="J386" s="47" t="str">
        <x:v>USDA FDC / Taiwan FDA / estimate</x:v>
      </x:c>
      <x:c r="K386" s="47" t="str">
        <x:v>用量通常很小</x:v>
      </x:c>
      <x:c r="L386" s="47" t="str">
        <x:v>https://fdc.nal.usda.gov/ ; https://www.fda.gov.tw/tc/siteList.aspx?sid=284 ; https://consumer.fda.gov.tw/Food/TFND.aspx?nodeID=178</x:v>
      </x:c>
    </x:row>
    <x:row r="387">
      <x:c r="A387" s="47" t="str">
        <x:v>VG088</x:v>
      </x:c>
      <x:c r="B387" s="47" t="str">
        <x:v>蔬菜</x:v>
      </x:c>
      <x:c r="C387" s="47" t="str">
        <x:v>薄荷葉</x:v>
      </x:c>
      <x:c r="D387" s="47" t="str">
        <x:v>生/可食部</x:v>
      </x:c>
      <x:c r="E387" s="48" t="n">
        <x:v>44</x:v>
      </x:c>
      <x:c r="F387" s="48" t="n">
        <x:v>3.3</x:v>
      </x:c>
      <x:c r="G387" s="48" t="n">
        <x:v>0.7</x:v>
      </x:c>
      <x:c r="H387" s="48" t="n">
        <x:v>8.4</x:v>
      </x:c>
      <x:c r="I387" s="49" t="n">
        <x:v>31</x:v>
      </x:c>
      <x:c r="J387" s="47" t="str">
        <x:v>USDA FDC / Taiwan FDA / estimate</x:v>
      </x:c>
      <x:c r="K387" s="47" t="str">
        <x:v>用量通常很小</x:v>
      </x:c>
      <x:c r="L387" s="47" t="str">
        <x:v>https://fdc.nal.usda.gov/ ; https://www.fda.gov.tw/tc/siteList.aspx?sid=284 ; https://consumer.fda.gov.tw/Food/TFND.aspx?nodeID=178</x:v>
      </x:c>
    </x:row>
    <x:row r="388">
      <x:c r="A388" s="47" t="str">
        <x:v>VG089</x:v>
      </x:c>
      <x:c r="B388" s="47" t="str">
        <x:v>蔬菜</x:v>
      </x:c>
      <x:c r="C388" s="47" t="str">
        <x:v>香菇（生）</x:v>
      </x:c>
      <x:c r="D388" s="47" t="str">
        <x:v>生/可食部</x:v>
      </x:c>
      <x:c r="E388" s="48" t="n">
        <x:v>34</x:v>
      </x:c>
      <x:c r="F388" s="48" t="n">
        <x:v>2.2</x:v>
      </x:c>
      <x:c r="G388" s="48" t="n">
        <x:v>0.5</x:v>
      </x:c>
      <x:c r="H388" s="48" t="n">
        <x:v>6.8</x:v>
      </x:c>
      <x:c r="I388" s="49" t="n">
        <x:v>9</x:v>
      </x:c>
      <x:c r="J388" s="47" t="str">
        <x:v>USDA FDC / Taiwan FDA / estimate</x:v>
      </x:c>
      <x:c r="K388" s="47"/>
      <x:c r="L388" s="47" t="str">
        <x:v>https://fdc.nal.usda.gov/ ; https://www.fda.gov.tw/tc/siteList.aspx?sid=284 ; https://consumer.fda.gov.tw/Food/TFND.aspx?nodeID=178</x:v>
      </x:c>
    </x:row>
    <x:row r="389">
      <x:c r="A389" s="47" t="str">
        <x:v>VG090</x:v>
      </x:c>
      <x:c r="B389" s="47" t="str">
        <x:v>蔬菜</x:v>
      </x:c>
      <x:c r="C389" s="47" t="str">
        <x:v>乾香菇</x:v>
      </x:c>
      <x:c r="D389" s="47" t="str">
        <x:v>乾/可食部</x:v>
      </x:c>
      <x:c r="E389" s="48" t="n">
        <x:v>296</x:v>
      </x:c>
      <x:c r="F389" s="48" t="n">
        <x:v>9.6</x:v>
      </x:c>
      <x:c r="G389" s="48" t="n">
        <x:v>1</x:v>
      </x:c>
      <x:c r="H389" s="48" t="n">
        <x:v>75</x:v>
      </x:c>
      <x:c r="I389" s="49" t="n">
        <x:v>13</x:v>
      </x:c>
      <x:c r="J389" s="47" t="str">
        <x:v>USDA FDC / Taiwan FDA / estimate</x:v>
      </x:c>
      <x:c r="K389" s="47" t="str">
        <x:v>乾重，泡發後需按泡發重或另建</x:v>
      </x:c>
      <x:c r="L389" s="47" t="str">
        <x:v>https://fdc.nal.usda.gov/ ; https://www.fda.gov.tw/tc/siteList.aspx?sid=284 ; https://consumer.fda.gov.tw/Food/TFND.aspx?nodeID=178</x:v>
      </x:c>
    </x:row>
    <x:row r="390">
      <x:c r="A390" s="47" t="str">
        <x:v>VG091</x:v>
      </x:c>
      <x:c r="B390" s="47" t="str">
        <x:v>蔬菜</x:v>
      </x:c>
      <x:c r="C390" s="47" t="str">
        <x:v>杏鮑菇（生）</x:v>
      </x:c>
      <x:c r="D390" s="47" t="str">
        <x:v>生/可食部</x:v>
      </x:c>
      <x:c r="E390" s="48" t="n">
        <x:v>35</x:v>
      </x:c>
      <x:c r="F390" s="48" t="n">
        <x:v>3</x:v>
      </x:c>
      <x:c r="G390" s="48" t="n">
        <x:v>0.4</x:v>
      </x:c>
      <x:c r="H390" s="48" t="n">
        <x:v>6.5</x:v>
      </x:c>
      <x:c r="I390" s="49" t="n">
        <x:v>10</x:v>
      </x:c>
      <x:c r="J390" s="47" t="str">
        <x:v>USDA FDC / Taiwan FDA / estimate</x:v>
      </x:c>
      <x:c r="K390" s="47"/>
      <x:c r="L390" s="47" t="str">
        <x:v>https://fdc.nal.usda.gov/ ; https://www.fda.gov.tw/tc/siteList.aspx?sid=284 ; https://consumer.fda.gov.tw/Food/TFND.aspx?nodeID=178</x:v>
      </x:c>
    </x:row>
    <x:row r="391">
      <x:c r="A391" s="47" t="str">
        <x:v>VG092</x:v>
      </x:c>
      <x:c r="B391" s="47" t="str">
        <x:v>蔬菜</x:v>
      </x:c>
      <x:c r="C391" s="47" t="str">
        <x:v>金針菇（生）</x:v>
      </x:c>
      <x:c r="D391" s="47" t="str">
        <x:v>生/可食部</x:v>
      </x:c>
      <x:c r="E391" s="48" t="n">
        <x:v>37</x:v>
      </x:c>
      <x:c r="F391" s="48" t="n">
        <x:v>2.7</x:v>
      </x:c>
      <x:c r="G391" s="48" t="n">
        <x:v>0.3</x:v>
      </x:c>
      <x:c r="H391" s="48" t="n">
        <x:v>7.8</x:v>
      </x:c>
      <x:c r="I391" s="49" t="n">
        <x:v>3</x:v>
      </x:c>
      <x:c r="J391" s="47" t="str">
        <x:v>USDA FDC / Taiwan FDA / estimate</x:v>
      </x:c>
      <x:c r="K391" s="47"/>
      <x:c r="L391" s="47" t="str">
        <x:v>https://fdc.nal.usda.gov/ ; https://www.fda.gov.tw/tc/siteList.aspx?sid=284 ; https://consumer.fda.gov.tw/Food/TFND.aspx?nodeID=178</x:v>
      </x:c>
    </x:row>
    <x:row r="392">
      <x:c r="A392" s="47" t="str">
        <x:v>VG093</x:v>
      </x:c>
      <x:c r="B392" s="47" t="str">
        <x:v>蔬菜</x:v>
      </x:c>
      <x:c r="C392" s="47" t="str">
        <x:v>鴻喜菇（生）</x:v>
      </x:c>
      <x:c r="D392" s="47" t="str">
        <x:v>生/可食部</x:v>
      </x:c>
      <x:c r="E392" s="48" t="n">
        <x:v>35</x:v>
      </x:c>
      <x:c r="F392" s="48" t="n">
        <x:v>2.7</x:v>
      </x:c>
      <x:c r="G392" s="48" t="n">
        <x:v>0.3</x:v>
      </x:c>
      <x:c r="H392" s="48" t="n">
        <x:v>6.8</x:v>
      </x:c>
      <x:c r="I392" s="49" t="n">
        <x:v>3</x:v>
      </x:c>
      <x:c r="J392" s="47" t="str">
        <x:v>USDA FDC / Taiwan FDA / estimate</x:v>
      </x:c>
      <x:c r="K392" s="47"/>
      <x:c r="L392" s="47" t="str">
        <x:v>https://fdc.nal.usda.gov/ ; https://www.fda.gov.tw/tc/siteList.aspx?sid=284 ; https://consumer.fda.gov.tw/Food/TFND.aspx?nodeID=178</x:v>
      </x:c>
    </x:row>
    <x:row r="393">
      <x:c r="A393" s="47" t="str">
        <x:v>VG094</x:v>
      </x:c>
      <x:c r="B393" s="47" t="str">
        <x:v>蔬菜</x:v>
      </x:c>
      <x:c r="C393" s="47" t="str">
        <x:v>雪白菇（生）</x:v>
      </x:c>
      <x:c r="D393" s="47" t="str">
        <x:v>生/可食部</x:v>
      </x:c>
      <x:c r="E393" s="48" t="n">
        <x:v>35</x:v>
      </x:c>
      <x:c r="F393" s="48" t="n">
        <x:v>2.7</x:v>
      </x:c>
      <x:c r="G393" s="48" t="n">
        <x:v>0.3</x:v>
      </x:c>
      <x:c r="H393" s="48" t="n">
        <x:v>6.8</x:v>
      </x:c>
      <x:c r="I393" s="49" t="n">
        <x:v>3</x:v>
      </x:c>
      <x:c r="J393" s="47" t="str">
        <x:v>USDA FDC / Taiwan FDA / estimate</x:v>
      </x:c>
      <x:c r="K393" s="47"/>
      <x:c r="L393" s="47" t="str">
        <x:v>https://fdc.nal.usda.gov/ ; https://www.fda.gov.tw/tc/siteList.aspx?sid=284 ; https://consumer.fda.gov.tw/Food/TFND.aspx?nodeID=178</x:v>
      </x:c>
    </x:row>
    <x:row r="394">
      <x:c r="A394" s="47" t="str">
        <x:v>VG095</x:v>
      </x:c>
      <x:c r="B394" s="47" t="str">
        <x:v>蔬菜</x:v>
      </x:c>
      <x:c r="C394" s="47" t="str">
        <x:v>秀珍菇（生）</x:v>
      </x:c>
      <x:c r="D394" s="47" t="str">
        <x:v>生/可食部</x:v>
      </x:c>
      <x:c r="E394" s="48" t="n">
        <x:v>33</x:v>
      </x:c>
      <x:c r="F394" s="48" t="n">
        <x:v>3.3</x:v>
      </x:c>
      <x:c r="G394" s="48" t="n">
        <x:v>0.4</x:v>
      </x:c>
      <x:c r="H394" s="48" t="n">
        <x:v>6.1</x:v>
      </x:c>
      <x:c r="I394" s="49" t="n">
        <x:v>4</x:v>
      </x:c>
      <x:c r="J394" s="47" t="str">
        <x:v>USDA FDC / Taiwan FDA / estimate</x:v>
      </x:c>
      <x:c r="K394" s="47"/>
      <x:c r="L394" s="47" t="str">
        <x:v>https://fdc.nal.usda.gov/ ; https://www.fda.gov.tw/tc/siteList.aspx?sid=284 ; https://consumer.fda.gov.tw/Food/TFND.aspx?nodeID=178</x:v>
      </x:c>
    </x:row>
    <x:row r="395">
      <x:c r="A395" s="47" t="str">
        <x:v>VG096</x:v>
      </x:c>
      <x:c r="B395" s="47" t="str">
        <x:v>蔬菜</x:v>
      </x:c>
      <x:c r="C395" s="47" t="str">
        <x:v>蘑菇（生）</x:v>
      </x:c>
      <x:c r="D395" s="47" t="str">
        <x:v>生/可食部</x:v>
      </x:c>
      <x:c r="E395" s="48" t="n">
        <x:v>22</x:v>
      </x:c>
      <x:c r="F395" s="48" t="n">
        <x:v>3.1</x:v>
      </x:c>
      <x:c r="G395" s="48" t="n">
        <x:v>0.3</x:v>
      </x:c>
      <x:c r="H395" s="48" t="n">
        <x:v>3.3</x:v>
      </x:c>
      <x:c r="I395" s="49" t="n">
        <x:v>5</x:v>
      </x:c>
      <x:c r="J395" s="47" t="str">
        <x:v>USDA FDC / Taiwan FDA / estimate</x:v>
      </x:c>
      <x:c r="K395" s="47"/>
      <x:c r="L395" s="47" t="str">
        <x:v>https://fdc.nal.usda.gov/ ; https://www.fda.gov.tw/tc/siteList.aspx?sid=284 ; https://consumer.fda.gov.tw/Food/TFND.aspx?nodeID=178</x:v>
      </x:c>
    </x:row>
    <x:row r="396">
      <x:c r="A396" s="47" t="str">
        <x:v>VG097</x:v>
      </x:c>
      <x:c r="B396" s="47" t="str">
        <x:v>蔬菜</x:v>
      </x:c>
      <x:c r="C396" s="47" t="str">
        <x:v>洋菇（熟）</x:v>
      </x:c>
      <x:c r="D396" s="47" t="str">
        <x:v>熟/可食部</x:v>
      </x:c>
      <x:c r="E396" s="48" t="n">
        <x:v>28</x:v>
      </x:c>
      <x:c r="F396" s="48" t="n">
        <x:v>3.6</x:v>
      </x:c>
      <x:c r="G396" s="48" t="n">
        <x:v>0.5</x:v>
      </x:c>
      <x:c r="H396" s="48" t="n">
        <x:v>4.4</x:v>
      </x:c>
      <x:c r="I396" s="49" t="n">
        <x:v>4</x:v>
      </x:c>
      <x:c r="J396" s="47" t="str">
        <x:v>USDA FDC / Taiwan FDA / estimate</x:v>
      </x:c>
      <x:c r="K396" s="47"/>
      <x:c r="L396" s="47" t="str">
        <x:v>https://fdc.nal.usda.gov/ ; https://www.fda.gov.tw/tc/siteList.aspx?sid=284 ; https://consumer.fda.gov.tw/Food/TFND.aspx?nodeID=178</x:v>
      </x:c>
    </x:row>
    <x:row r="397">
      <x:c r="A397" s="47" t="str">
        <x:v>VG098</x:v>
      </x:c>
      <x:c r="B397" s="47" t="str">
        <x:v>蔬菜</x:v>
      </x:c>
      <x:c r="C397" s="47" t="str">
        <x:v>木耳（生）</x:v>
      </x:c>
      <x:c r="D397" s="47" t="str">
        <x:v>生/可食部</x:v>
      </x:c>
      <x:c r="E397" s="48" t="n">
        <x:v>25</x:v>
      </x:c>
      <x:c r="F397" s="48" t="n">
        <x:v>0.5</x:v>
      </x:c>
      <x:c r="G397" s="48" t="n">
        <x:v>0.1</x:v>
      </x:c>
      <x:c r="H397" s="48" t="n">
        <x:v>6.8</x:v>
      </x:c>
      <x:c r="I397" s="49" t="n">
        <x:v>9</x:v>
      </x:c>
      <x:c r="J397" s="47" t="str">
        <x:v>USDA FDC / Taiwan FDA / estimate</x:v>
      </x:c>
      <x:c r="K397" s="47"/>
      <x:c r="L397" s="47" t="str">
        <x:v>https://fdc.nal.usda.gov/ ; https://www.fda.gov.tw/tc/siteList.aspx?sid=284 ; https://consumer.fda.gov.tw/Food/TFND.aspx?nodeID=178</x:v>
      </x:c>
    </x:row>
    <x:row r="398">
      <x:c r="A398" s="47" t="str">
        <x:v>VG099</x:v>
      </x:c>
      <x:c r="B398" s="47" t="str">
        <x:v>蔬菜</x:v>
      </x:c>
      <x:c r="C398" s="47" t="str">
        <x:v>白木耳（熟）</x:v>
      </x:c>
      <x:c r="D398" s="47" t="str">
        <x:v>熟/可食部</x:v>
      </x:c>
      <x:c r="E398" s="48" t="n">
        <x:v>27</x:v>
      </x:c>
      <x:c r="F398" s="48" t="n">
        <x:v>0.4</x:v>
      </x:c>
      <x:c r="G398" s="48" t="n">
        <x:v>0.1</x:v>
      </x:c>
      <x:c r="H398" s="48" t="n">
        <x:v>7</x:v>
      </x:c>
      <x:c r="I398" s="49" t="n">
        <x:v>5</x:v>
      </x:c>
      <x:c r="J398" s="47" t="str">
        <x:v>USDA FDC / Taiwan FDA / estimate</x:v>
      </x:c>
      <x:c r="K398" s="47"/>
      <x:c r="L398" s="47" t="str">
        <x:v>https://fdc.nal.usda.gov/ ; https://www.fda.gov.tw/tc/siteList.aspx?sid=284 ; https://consumer.fda.gov.tw/Food/TFND.aspx?nodeID=178</x:v>
      </x:c>
    </x:row>
    <x:row r="399">
      <x:c r="A399" s="47" t="str">
        <x:v>VG100</x:v>
      </x:c>
      <x:c r="B399" s="47" t="str">
        <x:v>蔬菜</x:v>
      </x:c>
      <x:c r="C399" s="47" t="str">
        <x:v>昆布（乾）</x:v>
      </x:c>
      <x:c r="D399" s="47" t="str">
        <x:v>乾/可食部</x:v>
      </x:c>
      <x:c r="E399" s="48" t="n">
        <x:v>180</x:v>
      </x:c>
      <x:c r="F399" s="48" t="n">
        <x:v>7</x:v>
      </x:c>
      <x:c r="G399" s="48" t="n">
        <x:v>1</x:v>
      </x:c>
      <x:c r="H399" s="48" t="n">
        <x:v>45</x:v>
      </x:c>
      <x:c r="I399" s="49" t="n">
        <x:v>2500</x:v>
      </x:c>
      <x:c r="J399" s="47" t="str">
        <x:v>USDA FDC / Taiwan FDA / estimate</x:v>
      </x:c>
      <x:c r="K399" s="47" t="str">
        <x:v>乾海帶鈉高，用量小</x:v>
      </x:c>
      <x:c r="L399" s="47" t="str">
        <x:v>https://fdc.nal.usda.gov/ ; https://www.fda.gov.tw/tc/siteList.aspx?sid=284 ; https://consumer.fda.gov.tw/Food/TFND.aspx?nodeID=178</x:v>
      </x:c>
    </x:row>
    <x:row r="400">
      <x:c r="A400" s="47" t="str">
        <x:v>VG101</x:v>
      </x:c>
      <x:c r="B400" s="47" t="str">
        <x:v>蔬菜</x:v>
      </x:c>
      <x:c r="C400" s="47" t="str">
        <x:v>海帶芽（乾）</x:v>
      </x:c>
      <x:c r="D400" s="47" t="str">
        <x:v>乾/可食部</x:v>
      </x:c>
      <x:c r="E400" s="48" t="n">
        <x:v>216</x:v>
      </x:c>
      <x:c r="F400" s="48" t="n">
        <x:v>18</x:v>
      </x:c>
      <x:c r="G400" s="48" t="n">
        <x:v>2</x:v>
      </x:c>
      <x:c r="H400" s="48" t="n">
        <x:v>44</x:v>
      </x:c>
      <x:c r="I400" s="49" t="n">
        <x:v>3200</x:v>
      </x:c>
      <x:c r="J400" s="47" t="str">
        <x:v>USDA FDC / Taiwan FDA / estimate</x:v>
      </x:c>
      <x:c r="K400" s="47" t="str">
        <x:v>乾重鈉高，用量小</x:v>
      </x:c>
      <x:c r="L400" s="47" t="str">
        <x:v>https://fdc.nal.usda.gov/ ; https://www.fda.gov.tw/tc/siteList.aspx?sid=284 ; https://consumer.fda.gov.tw/Food/TFND.aspx?nodeID=178</x:v>
      </x:c>
    </x:row>
    <x:row r="401">
      <x:c r="A401" s="47" t="str">
        <x:v>VG102</x:v>
      </x:c>
      <x:c r="B401" s="47" t="str">
        <x:v>蔬菜</x:v>
      </x:c>
      <x:c r="C401" s="47" t="str">
        <x:v>海帶芽（泡發）</x:v>
      </x:c>
      <x:c r="D401" s="47" t="str">
        <x:v>熟/可食部</x:v>
      </x:c>
      <x:c r="E401" s="48" t="n">
        <x:v>45</x:v>
      </x:c>
      <x:c r="F401" s="48" t="n">
        <x:v>3</x:v>
      </x:c>
      <x:c r="G401" s="48" t="n">
        <x:v>0.5</x:v>
      </x:c>
      <x:c r="H401" s="48" t="n">
        <x:v>9</x:v>
      </x:c>
      <x:c r="I401" s="49" t="n">
        <x:v>500</x:v>
      </x:c>
      <x:c r="J401" s="47" t="str">
        <x:v>USDA FDC / Taiwan FDA / estimate</x:v>
      </x:c>
      <x:c r="K401" s="47" t="str">
        <x:v>泡發與沖洗影響鈉</x:v>
      </x:c>
      <x:c r="L401" s="47" t="str">
        <x:v>https://fdc.nal.usda.gov/ ; https://www.fda.gov.tw/tc/siteList.aspx?sid=284 ; https://consumer.fda.gov.tw/Food/TFND.aspx?nodeID=178</x:v>
      </x:c>
    </x:row>
    <x:row r="402">
      <x:c r="A402" s="47" t="str">
        <x:v>VG103</x:v>
      </x:c>
      <x:c r="B402" s="47" t="str">
        <x:v>蔬菜</x:v>
      </x:c>
      <x:c r="C402" s="47" t="str">
        <x:v>紫菜（乾）</x:v>
      </x:c>
      <x:c r="D402" s="47" t="str">
        <x:v>乾/可食部</x:v>
      </x:c>
      <x:c r="E402" s="48" t="n">
        <x:v>350</x:v>
      </x:c>
      <x:c r="F402" s="48" t="n">
        <x:v>40</x:v>
      </x:c>
      <x:c r="G402" s="48" t="n">
        <x:v>4</x:v>
      </x:c>
      <x:c r="H402" s="48" t="n">
        <x:v>45</x:v>
      </x:c>
      <x:c r="I402" s="49" t="n">
        <x:v>575</x:v>
      </x:c>
      <x:c r="J402" s="47" t="str">
        <x:v>USDA FDC / Taiwan FDA / estimate</x:v>
      </x:c>
      <x:c r="K402" s="47" t="str">
        <x:v>乾重，用量小</x:v>
      </x:c>
      <x:c r="L402" s="47" t="str">
        <x:v>https://fdc.nal.usda.gov/ ; https://www.fda.gov.tw/tc/siteList.aspx?sid=284 ; https://consumer.fda.gov.tw/Food/TFND.aspx?nodeID=178</x:v>
      </x:c>
    </x:row>
    <x:row r="403">
      <x:c r="A403" s="47" t="str">
        <x:v>VG104</x:v>
      </x:c>
      <x:c r="B403" s="47" t="str">
        <x:v>蔬菜</x:v>
      </x:c>
      <x:c r="C403" s="47" t="str">
        <x:v>豆苗</x:v>
      </x:c>
      <x:c r="D403" s="47" t="str">
        <x:v>生/可食部</x:v>
      </x:c>
      <x:c r="E403" s="48" t="n">
        <x:v>31</x:v>
      </x:c>
      <x:c r="F403" s="48" t="n">
        <x:v>3</x:v>
      </x:c>
      <x:c r="G403" s="48" t="n">
        <x:v>0.4</x:v>
      </x:c>
      <x:c r="H403" s="48" t="n">
        <x:v>5</x:v>
      </x:c>
      <x:c r="I403" s="49" t="n">
        <x:v>40</x:v>
      </x:c>
      <x:c r="J403" s="47" t="str">
        <x:v>USDA FDC / Taiwan FDA / estimate</x:v>
      </x:c>
      <x:c r="K403" s="47"/>
      <x:c r="L403" s="47" t="str">
        <x:v>https://fdc.nal.usda.gov/ ; https://www.fda.gov.tw/tc/siteList.aspx?sid=284 ; https://consumer.fda.gov.tw/Food/TFND.aspx?nodeID=178</x:v>
      </x:c>
    </x:row>
    <x:row r="404">
      <x:c r="A404" s="47" t="str">
        <x:v>VG105</x:v>
      </x:c>
      <x:c r="B404" s="47" t="str">
        <x:v>蔬菜</x:v>
      </x:c>
      <x:c r="C404" s="47" t="str">
        <x:v>苜蓿芽</x:v>
      </x:c>
      <x:c r="D404" s="47" t="str">
        <x:v>生/可食部</x:v>
      </x:c>
      <x:c r="E404" s="48" t="n">
        <x:v>23</x:v>
      </x:c>
      <x:c r="F404" s="48" t="n">
        <x:v>4</x:v>
      </x:c>
      <x:c r="G404" s="48" t="n">
        <x:v>0.7</x:v>
      </x:c>
      <x:c r="H404" s="48" t="n">
        <x:v>2.1</x:v>
      </x:c>
      <x:c r="I404" s="49" t="n">
        <x:v>6</x:v>
      </x:c>
      <x:c r="J404" s="47" t="str">
        <x:v>USDA FDC / Taiwan FDA / estimate</x:v>
      </x:c>
      <x:c r="K404" s="47"/>
      <x:c r="L404" s="47" t="str">
        <x:v>https://fdc.nal.usda.gov/ ; https://www.fda.gov.tw/tc/siteList.aspx?sid=284 ; https://consumer.fda.gov.tw/Food/TFND.aspx?nodeID=178</x:v>
      </x:c>
    </x:row>
    <x:row r="405">
      <x:c r="A405" s="47" t="str">
        <x:v>VG106</x:v>
      </x:c>
      <x:c r="B405" s="47" t="str">
        <x:v>蔬菜</x:v>
      </x:c>
      <x:c r="C405" s="47" t="str">
        <x:v>蘿蔔苗</x:v>
      </x:c>
      <x:c r="D405" s="47" t="str">
        <x:v>生/可食部</x:v>
      </x:c>
      <x:c r="E405" s="48" t="n">
        <x:v>43</x:v>
      </x:c>
      <x:c r="F405" s="48" t="n">
        <x:v>3.8</x:v>
      </x:c>
      <x:c r="G405" s="48" t="n">
        <x:v>2.5</x:v>
      </x:c>
      <x:c r="H405" s="48" t="n">
        <x:v>3.6</x:v>
      </x:c>
      <x:c r="I405" s="49" t="n">
        <x:v>6</x:v>
      </x:c>
      <x:c r="J405" s="47" t="str">
        <x:v>USDA FDC / Taiwan FDA / estimate</x:v>
      </x:c>
      <x:c r="K405" s="47"/>
      <x:c r="L405" s="47" t="str">
        <x:v>https://fdc.nal.usda.gov/ ; https://www.fda.gov.tw/tc/siteList.aspx?sid=284 ; https://consumer.fda.gov.tw/Food/TFND.aspx?nodeID=178</x:v>
      </x:c>
    </x:row>
    <x:row r="406">
      <x:c r="A406" s="47" t="str">
        <x:v>VG107</x:v>
      </x:c>
      <x:c r="B406" s="47" t="str">
        <x:v>蔬菜</x:v>
      </x:c>
      <x:c r="C406" s="47" t="str">
        <x:v>甜菜根（熟）</x:v>
      </x:c>
      <x:c r="D406" s="47" t="str">
        <x:v>熟/可食部</x:v>
      </x:c>
      <x:c r="E406" s="48" t="n">
        <x:v>44</x:v>
      </x:c>
      <x:c r="F406" s="48" t="n">
        <x:v>1.7</x:v>
      </x:c>
      <x:c r="G406" s="48" t="n">
        <x:v>0.2</x:v>
      </x:c>
      <x:c r="H406" s="48" t="n">
        <x:v>10</x:v>
      </x:c>
      <x:c r="I406" s="49" t="n">
        <x:v>77</x:v>
      </x:c>
      <x:c r="J406" s="47" t="str">
        <x:v>USDA FDC / Taiwan FDA / estimate</x:v>
      </x:c>
      <x:c r="K406" s="47"/>
      <x:c r="L406" s="47" t="str">
        <x:v>https://fdc.nal.usda.gov/ ; https://www.fda.gov.tw/tc/siteList.aspx?sid=284 ; https://consumer.fda.gov.tw/Food/TFND.aspx?nodeID=178</x:v>
      </x:c>
    </x:row>
    <x:row r="407">
      <x:c r="A407" s="47" t="str">
        <x:v>VG108</x:v>
      </x:c>
      <x:c r="B407" s="47" t="str">
        <x:v>蔬菜</x:v>
      </x:c>
      <x:c r="C407" s="47" t="str">
        <x:v>芹菜</x:v>
      </x:c>
      <x:c r="D407" s="47" t="str">
        <x:v>生/可食部</x:v>
      </x:c>
      <x:c r="E407" s="48" t="n">
        <x:v>16</x:v>
      </x:c>
      <x:c r="F407" s="48" t="n">
        <x:v>0.7</x:v>
      </x:c>
      <x:c r="G407" s="48" t="n">
        <x:v>0.2</x:v>
      </x:c>
      <x:c r="H407" s="48" t="n">
        <x:v>3</x:v>
      </x:c>
      <x:c r="I407" s="49" t="n">
        <x:v>80</x:v>
      </x:c>
      <x:c r="J407" s="47" t="str">
        <x:v>USDA FDC / Taiwan FDA / estimate</x:v>
      </x:c>
      <x:c r="K407" s="47"/>
      <x:c r="L407" s="47" t="str">
        <x:v>https://fdc.nal.usda.gov/ ; https://www.fda.gov.tw/tc/siteList.aspx?sid=284 ; https://consumer.fda.gov.tw/Food/TFND.aspx?nodeID=178</x:v>
      </x:c>
    </x:row>
    <x:row r="408">
      <x:c r="A408" s="47" t="str">
        <x:v>VG109</x:v>
      </x:c>
      <x:c r="B408" s="47" t="str">
        <x:v>蔬菜</x:v>
      </x:c>
      <x:c r="C408" s="47" t="str">
        <x:v>西洋芹</x:v>
      </x:c>
      <x:c r="D408" s="47" t="str">
        <x:v>生/可食部</x:v>
      </x:c>
      <x:c r="E408" s="48" t="n">
        <x:v>16</x:v>
      </x:c>
      <x:c r="F408" s="48" t="n">
        <x:v>0.7</x:v>
      </x:c>
      <x:c r="G408" s="48" t="n">
        <x:v>0.2</x:v>
      </x:c>
      <x:c r="H408" s="48" t="n">
        <x:v>3</x:v>
      </x:c>
      <x:c r="I408" s="49" t="n">
        <x:v>80</x:v>
      </x:c>
      <x:c r="J408" s="47" t="str">
        <x:v>USDA FDC / Taiwan FDA / estimate</x:v>
      </x:c>
      <x:c r="K408" s="47"/>
      <x:c r="L408" s="47" t="str">
        <x:v>https://fdc.nal.usda.gov/ ; https://www.fda.gov.tw/tc/siteList.aspx?sid=284 ; https://consumer.fda.gov.tw/Food/TFND.aspx?nodeID=178</x:v>
      </x:c>
    </x:row>
    <x:row r="409">
      <x:c r="A409" s="47" t="str">
        <x:v>VG110</x:v>
      </x:c>
      <x:c r="B409" s="47" t="str">
        <x:v>蔬菜</x:v>
      </x:c>
      <x:c r="C409" s="47" t="str">
        <x:v>茼蒿（熟）</x:v>
      </x:c>
      <x:c r="D409" s="47" t="str">
        <x:v>熟/可食部</x:v>
      </x:c>
      <x:c r="E409" s="48" t="n">
        <x:v>20</x:v>
      </x:c>
      <x:c r="F409" s="48" t="n">
        <x:v>1.6</x:v>
      </x:c>
      <x:c r="G409" s="48" t="n">
        <x:v>0.3</x:v>
      </x:c>
      <x:c r="H409" s="48" t="n">
        <x:v>3.8</x:v>
      </x:c>
      <x:c r="I409" s="49" t="n">
        <x:v>55</x:v>
      </x:c>
      <x:c r="J409" s="47" t="str">
        <x:v>USDA FDC / Taiwan FDA / estimate</x:v>
      </x:c>
      <x:c r="K409" s="47"/>
      <x:c r="L409" s="47" t="str">
        <x:v>https://fdc.nal.usda.gov/ ; https://www.fda.gov.tw/tc/siteList.aspx?sid=284 ; https://consumer.fda.gov.tw/Food/TFND.aspx?nodeID=178</x:v>
      </x:c>
    </x:row>
    <x:row r="410">
      <x:c r="A410" s="47" t="str">
        <x:v>VG111</x:v>
      </x:c>
      <x:c r="B410" s="47" t="str">
        <x:v>蔬菜</x:v>
      </x:c>
      <x:c r="C410" s="47" t="str">
        <x:v>蘿蔔乾（未調味基準）</x:v>
      </x:c>
      <x:c r="D410" s="47" t="str">
        <x:v>乾/可食部</x:v>
      </x:c>
      <x:c r="E410" s="48" t="n">
        <x:v>271</x:v>
      </x:c>
      <x:c r="F410" s="48" t="n">
        <x:v>7.5</x:v>
      </x:c>
      <x:c r="G410" s="48" t="n">
        <x:v>1</x:v>
      </x:c>
      <x:c r="H410" s="48" t="n">
        <x:v>58</x:v>
      </x:c>
      <x:c r="I410" s="49" t="n">
        <x:v>3000</x:v>
      </x:c>
      <x:c r="J410" s="47" t="str">
        <x:v>USDA FDC / Taiwan FDA / estimate</x:v>
      </x:c>
      <x:c r="K410" s="47" t="str">
        <x:v>鹽漬鈉極高；需品牌校正</x:v>
      </x:c>
      <x:c r="L410" s="47" t="str">
        <x:v>https://fdc.nal.usda.gov/ ; https://www.fda.gov.tw/tc/siteList.aspx?sid=284 ; https://consumer.fda.gov.tw/Food/TFND.aspx?nodeID=178</x:v>
      </x:c>
    </x:row>
    <x:row r="411">
      <x:c r="A411" s="47" t="str">
        <x:v>VG112</x:v>
      </x:c>
      <x:c r="B411" s="47" t="str">
        <x:v>蔬菜</x:v>
      </x:c>
      <x:c r="C411" s="47" t="str">
        <x:v>酸菜（瀝乾）</x:v>
      </x:c>
      <x:c r="D411" s="47" t="str">
        <x:v>可食部</x:v>
      </x:c>
      <x:c r="E411" s="48" t="n">
        <x:v>22</x:v>
      </x:c>
      <x:c r="F411" s="48" t="n">
        <x:v>1</x:v>
      </x:c>
      <x:c r="G411" s="48" t="n">
        <x:v>0.2</x:v>
      </x:c>
      <x:c r="H411" s="48" t="n">
        <x:v>4.5</x:v>
      </x:c>
      <x:c r="I411" s="49" t="n">
        <x:v>900</x:v>
      </x:c>
      <x:c r="J411" s="47" t="str">
        <x:v>USDA FDC / Taiwan FDA / estimate</x:v>
      </x:c>
      <x:c r="K411" s="47" t="str">
        <x:v>加工醃漬，鈉高</x:v>
      </x:c>
      <x:c r="L411" s="47" t="str">
        <x:v>https://fdc.nal.usda.gov/ ; https://www.fda.gov.tw/tc/siteList.aspx?sid=284 ; https://consumer.fda.gov.tw/Food/TFND.aspx?nodeID=178</x:v>
      </x:c>
    </x:row>
    <x:row r="412">
      <x:c r="A412" s="47" t="str">
        <x:v>VG113</x:v>
      </x:c>
      <x:c r="B412" s="47" t="str">
        <x:v>蔬菜</x:v>
      </x:c>
      <x:c r="C412" s="47" t="str">
        <x:v>泡菜（基準）</x:v>
      </x:c>
      <x:c r="D412" s="47" t="str">
        <x:v>可食部</x:v>
      </x:c>
      <x:c r="E412" s="48" t="n">
        <x:v>23</x:v>
      </x:c>
      <x:c r="F412" s="48" t="n">
        <x:v>1.1</x:v>
      </x:c>
      <x:c r="G412" s="48" t="n">
        <x:v>0.4</x:v>
      </x:c>
      <x:c r="H412" s="48" t="n">
        <x:v>4</x:v>
      </x:c>
      <x:c r="I412" s="49" t="n">
        <x:v>498</x:v>
      </x:c>
      <x:c r="J412" s="47" t="str">
        <x:v>USDA FDC / Taiwan FDA / estimate</x:v>
      </x:c>
      <x:c r="K412" s="47" t="str">
        <x:v>醬汁/品牌差異大</x:v>
      </x:c>
      <x:c r="L412" s="47" t="str">
        <x:v>https://fdc.nal.usda.gov/ ; https://www.fda.gov.tw/tc/siteList.aspx?sid=284 ; https://consumer.fda.gov.tw/Food/TFND.aspx?nodeID=178</x:v>
      </x:c>
    </x:row>
    <x:row r="413">
      <x:c r="A413" s="47" t="str">
        <x:v>VG114</x:v>
      </x:c>
      <x:c r="B413" s="47" t="str">
        <x:v>蔬菜</x:v>
      </x:c>
      <x:c r="C413" s="47" t="str">
        <x:v>毛豆仁（生）</x:v>
      </x:c>
      <x:c r="D413" s="47" t="str">
        <x:v>生/可食部</x:v>
      </x:c>
      <x:c r="E413" s="48" t="n">
        <x:v>147</x:v>
      </x:c>
      <x:c r="F413" s="48" t="n">
        <x:v>13</x:v>
      </x:c>
      <x:c r="G413" s="48" t="n">
        <x:v>6.8</x:v>
      </x:c>
      <x:c r="H413" s="48" t="n">
        <x:v>11</x:v>
      </x:c>
      <x:c r="I413" s="49" t="n">
        <x:v>6</x:v>
      </x:c>
      <x:c r="J413" s="47" t="str">
        <x:v>USDA FDC / Taiwan FDA / estimate</x:v>
      </x:c>
      <x:c r="K413" s="47"/>
      <x:c r="L413" s="47" t="str">
        <x:v>https://fdc.nal.usda.gov/ ; https://www.fda.gov.tw/tc/siteList.aspx?sid=284 ; https://consumer.fda.gov.tw/Food/TFND.aspx?nodeID=178</x:v>
      </x:c>
    </x:row>
    <x:row r="414">
      <x:c r="A414" s="47" t="str">
        <x:v>VG115</x:v>
      </x:c>
      <x:c r="B414" s="47" t="str">
        <x:v>蔬菜</x:v>
      </x:c>
      <x:c r="C414" s="47" t="str">
        <x:v>甜玉米筍（生）</x:v>
      </x:c>
      <x:c r="D414" s="47" t="str">
        <x:v>生/可食部</x:v>
      </x:c>
      <x:c r="E414" s="48" t="n">
        <x:v>26</x:v>
      </x:c>
      <x:c r="F414" s="48" t="n">
        <x:v>2</x:v>
      </x:c>
      <x:c r="G414" s="48" t="n">
        <x:v>0.3</x:v>
      </x:c>
      <x:c r="H414" s="48" t="n">
        <x:v>5</x:v>
      </x:c>
      <x:c r="I414" s="49" t="n">
        <x:v>5</x:v>
      </x:c>
      <x:c r="J414" s="47" t="str">
        <x:v>USDA FDC / Taiwan FDA / estimate</x:v>
      </x:c>
      <x:c r="K414" s="47"/>
      <x:c r="L414" s="47" t="str">
        <x:v>https://fdc.nal.usda.gov/ ; https://www.fda.gov.tw/tc/siteList.aspx?sid=284 ; https://consumer.fda.gov.tw/Food/TFND.aspx?nodeID=178</x:v>
      </x:c>
    </x:row>
    <x:row r="415">
      <x:c r="A415" s="47" t="str">
        <x:v>VG116</x:v>
      </x:c>
      <x:c r="B415" s="47" t="str">
        <x:v>蔬菜</x:v>
      </x:c>
      <x:c r="C415" s="47" t="str">
        <x:v>蓮藕（生）</x:v>
      </x:c>
      <x:c r="D415" s="47" t="str">
        <x:v>生/可食部</x:v>
      </x:c>
      <x:c r="E415" s="48" t="n">
        <x:v>74</x:v>
      </x:c>
      <x:c r="F415" s="48" t="n">
        <x:v>2.6</x:v>
      </x:c>
      <x:c r="G415" s="48" t="n">
        <x:v>0.1</x:v>
      </x:c>
      <x:c r="H415" s="48" t="n">
        <x:v>17.2</x:v>
      </x:c>
      <x:c r="I415" s="49" t="n">
        <x:v>40</x:v>
      </x:c>
      <x:c r="J415" s="47" t="str">
        <x:v>USDA FDC / Taiwan FDA / estimate</x:v>
      </x:c>
      <x:c r="K415" s="47"/>
      <x:c r="L415" s="47" t="str">
        <x:v>https://fdc.nal.usda.gov/ ; https://www.fda.gov.tw/tc/siteList.aspx?sid=284 ; https://consumer.fda.gov.tw/Food/TFND.aspx?nodeID=178</x:v>
      </x:c>
    </x:row>
    <x:row r="416">
      <x:c r="A416" s="47" t="str">
        <x:v>VG117</x:v>
      </x:c>
      <x:c r="B416" s="47" t="str">
        <x:v>蔬菜</x:v>
      </x:c>
      <x:c r="C416" s="47" t="str">
        <x:v>山藥（生）</x:v>
      </x:c>
      <x:c r="D416" s="47" t="str">
        <x:v>生/可食部</x:v>
      </x:c>
      <x:c r="E416" s="48" t="n">
        <x:v>118</x:v>
      </x:c>
      <x:c r="F416" s="48" t="n">
        <x:v>1.5</x:v>
      </x:c>
      <x:c r="G416" s="48" t="n">
        <x:v>0.2</x:v>
      </x:c>
      <x:c r="H416" s="48" t="n">
        <x:v>27.9</x:v>
      </x:c>
      <x:c r="I416" s="49" t="n">
        <x:v>9</x:v>
      </x:c>
      <x:c r="J416" s="47" t="str">
        <x:v>USDA FDC / Taiwan FDA / estimate</x:v>
      </x:c>
      <x:c r="K416" s="47"/>
      <x:c r="L416" s="47" t="str">
        <x:v>https://fdc.nal.usda.gov/ ; https://www.fda.gov.tw/tc/siteList.aspx?sid=284 ; https://consumer.fda.gov.tw/Food/TFND.aspx?nodeID=178</x:v>
      </x:c>
    </x:row>
    <x:row r="417">
      <x:c r="A417" s="47" t="str">
        <x:v>FR017</x:v>
      </x:c>
      <x:c r="B417" s="47" t="str">
        <x:v>水果</x:v>
      </x:c>
      <x:c r="C417" s="47" t="str">
        <x:v>蘋果（帶皮）</x:v>
      </x:c>
      <x:c r="D417" s="47" t="str">
        <x:v>生/可食部</x:v>
      </x:c>
      <x:c r="E417" s="48" t="n">
        <x:v>52</x:v>
      </x:c>
      <x:c r="F417" s="48" t="n">
        <x:v>0.3</x:v>
      </x:c>
      <x:c r="G417" s="48" t="n">
        <x:v>0.2</x:v>
      </x:c>
      <x:c r="H417" s="48" t="n">
        <x:v>13.8</x:v>
      </x:c>
      <x:c r="I417" s="49" t="n">
        <x:v>1</x:v>
      </x:c>
      <x:c r="J417" s="47" t="str">
        <x:v>USDA FDC / Taiwan FDA / estimate</x:v>
      </x:c>
      <x:c r="K417" s="47"/>
      <x:c r="L417" s="47" t="str">
        <x:v>https://fdc.nal.usda.gov/ ; https://www.fda.gov.tw/tc/siteList.aspx?sid=284 ; https://consumer.fda.gov.tw/Food/TFND.aspx?nodeID=178</x:v>
      </x:c>
    </x:row>
    <x:row r="418">
      <x:c r="A418" s="47" t="str">
        <x:v>FR018</x:v>
      </x:c>
      <x:c r="B418" s="47" t="str">
        <x:v>水果</x:v>
      </x:c>
      <x:c r="C418" s="47" t="str">
        <x:v>蘋果（去皮）</x:v>
      </x:c>
      <x:c r="D418" s="47" t="str">
        <x:v>生/可食部</x:v>
      </x:c>
      <x:c r="E418" s="48" t="n">
        <x:v>48</x:v>
      </x:c>
      <x:c r="F418" s="48" t="n">
        <x:v>0.3</x:v>
      </x:c>
      <x:c r="G418" s="48" t="n">
        <x:v>0.1</x:v>
      </x:c>
      <x:c r="H418" s="48" t="n">
        <x:v>12.8</x:v>
      </x:c>
      <x:c r="I418" s="49" t="n">
        <x:v>0</x:v>
      </x:c>
      <x:c r="J418" s="47" t="str">
        <x:v>USDA FDC / Taiwan FDA / estimate</x:v>
      </x:c>
      <x:c r="K418" s="47"/>
      <x:c r="L418" s="47" t="str">
        <x:v>https://fdc.nal.usda.gov/ ; https://www.fda.gov.tw/tc/siteList.aspx?sid=284 ; https://consumer.fda.gov.tw/Food/TFND.aspx?nodeID=178</x:v>
      </x:c>
    </x:row>
    <x:row r="419">
      <x:c r="A419" s="47" t="str">
        <x:v>FR019</x:v>
      </x:c>
      <x:c r="B419" s="47" t="str">
        <x:v>水果</x:v>
      </x:c>
      <x:c r="C419" s="47" t="str">
        <x:v>青蘋果</x:v>
      </x:c>
      <x:c r="D419" s="47" t="str">
        <x:v>生/可食部</x:v>
      </x:c>
      <x:c r="E419" s="48" t="n">
        <x:v>52</x:v>
      </x:c>
      <x:c r="F419" s="48" t="n">
        <x:v>0.3</x:v>
      </x:c>
      <x:c r="G419" s="48" t="n">
        <x:v>0.2</x:v>
      </x:c>
      <x:c r="H419" s="48" t="n">
        <x:v>13.8</x:v>
      </x:c>
      <x:c r="I419" s="49" t="n">
        <x:v>1</x:v>
      </x:c>
      <x:c r="J419" s="47" t="str">
        <x:v>USDA FDC / Taiwan FDA / estimate</x:v>
      </x:c>
      <x:c r="K419" s="47"/>
      <x:c r="L419" s="47" t="str">
        <x:v>https://fdc.nal.usda.gov/ ; https://www.fda.gov.tw/tc/siteList.aspx?sid=284 ; https://consumer.fda.gov.tw/Food/TFND.aspx?nodeID=178</x:v>
      </x:c>
    </x:row>
    <x:row r="420">
      <x:c r="A420" s="47" t="str">
        <x:v>FR020</x:v>
      </x:c>
      <x:c r="B420" s="47" t="str">
        <x:v>水果</x:v>
      </x:c>
      <x:c r="C420" s="47" t="str">
        <x:v>梨子</x:v>
      </x:c>
      <x:c r="D420" s="47" t="str">
        <x:v>生/可食部</x:v>
      </x:c>
      <x:c r="E420" s="48" t="n">
        <x:v>57</x:v>
      </x:c>
      <x:c r="F420" s="48" t="n">
        <x:v>0.4</x:v>
      </x:c>
      <x:c r="G420" s="48" t="n">
        <x:v>0.1</x:v>
      </x:c>
      <x:c r="H420" s="48" t="n">
        <x:v>15.2</x:v>
      </x:c>
      <x:c r="I420" s="49" t="n">
        <x:v>1</x:v>
      </x:c>
      <x:c r="J420" s="47" t="str">
        <x:v>USDA FDC / Taiwan FDA / estimate</x:v>
      </x:c>
      <x:c r="K420" s="47"/>
      <x:c r="L420" s="47" t="str">
        <x:v>https://fdc.nal.usda.gov/ ; https://www.fda.gov.tw/tc/siteList.aspx?sid=284 ; https://consumer.fda.gov.tw/Food/TFND.aspx?nodeID=178</x:v>
      </x:c>
    </x:row>
    <x:row r="421">
      <x:c r="A421" s="47" t="str">
        <x:v>FR021</x:v>
      </x:c>
      <x:c r="B421" s="47" t="str">
        <x:v>水果</x:v>
      </x:c>
      <x:c r="C421" s="47" t="str">
        <x:v>西洋梨</x:v>
      </x:c>
      <x:c r="D421" s="47" t="str">
        <x:v>生/可食部</x:v>
      </x:c>
      <x:c r="E421" s="48" t="n">
        <x:v>57</x:v>
      </x:c>
      <x:c r="F421" s="48" t="n">
        <x:v>0.4</x:v>
      </x:c>
      <x:c r="G421" s="48" t="n">
        <x:v>0.1</x:v>
      </x:c>
      <x:c r="H421" s="48" t="n">
        <x:v>15.2</x:v>
      </x:c>
      <x:c r="I421" s="49" t="n">
        <x:v>1</x:v>
      </x:c>
      <x:c r="J421" s="47" t="str">
        <x:v>USDA FDC / Taiwan FDA / estimate</x:v>
      </x:c>
      <x:c r="K421" s="47"/>
      <x:c r="L421" s="47" t="str">
        <x:v>https://fdc.nal.usda.gov/ ; https://www.fda.gov.tw/tc/siteList.aspx?sid=284 ; https://consumer.fda.gov.tw/Food/TFND.aspx?nodeID=178</x:v>
      </x:c>
    </x:row>
    <x:row r="422">
      <x:c r="A422" s="47" t="str">
        <x:v>FR022</x:v>
      </x:c>
      <x:c r="B422" s="47" t="str">
        <x:v>水果</x:v>
      </x:c>
      <x:c r="C422" s="47" t="str">
        <x:v>水蜜桃</x:v>
      </x:c>
      <x:c r="D422" s="47" t="str">
        <x:v>生/可食部</x:v>
      </x:c>
      <x:c r="E422" s="48" t="n">
        <x:v>39</x:v>
      </x:c>
      <x:c r="F422" s="48" t="n">
        <x:v>0.9</x:v>
      </x:c>
      <x:c r="G422" s="48" t="n">
        <x:v>0.3</x:v>
      </x:c>
      <x:c r="H422" s="48" t="n">
        <x:v>9.5</x:v>
      </x:c>
      <x:c r="I422" s="49" t="n">
        <x:v>0</x:v>
      </x:c>
      <x:c r="J422" s="47" t="str">
        <x:v>USDA FDC / Taiwan FDA / estimate</x:v>
      </x:c>
      <x:c r="K422" s="47"/>
      <x:c r="L422" s="47" t="str">
        <x:v>https://fdc.nal.usda.gov/ ; https://www.fda.gov.tw/tc/siteList.aspx?sid=284 ; https://consumer.fda.gov.tw/Food/TFND.aspx?nodeID=178</x:v>
      </x:c>
    </x:row>
    <x:row r="423">
      <x:c r="A423" s="47" t="str">
        <x:v>FR023</x:v>
      </x:c>
      <x:c r="B423" s="47" t="str">
        <x:v>水果</x:v>
      </x:c>
      <x:c r="C423" s="47" t="str">
        <x:v>桃子</x:v>
      </x:c>
      <x:c r="D423" s="47" t="str">
        <x:v>生/可食部</x:v>
      </x:c>
      <x:c r="E423" s="48" t="n">
        <x:v>39</x:v>
      </x:c>
      <x:c r="F423" s="48" t="n">
        <x:v>0.9</x:v>
      </x:c>
      <x:c r="G423" s="48" t="n">
        <x:v>0.3</x:v>
      </x:c>
      <x:c r="H423" s="48" t="n">
        <x:v>9.5</x:v>
      </x:c>
      <x:c r="I423" s="49" t="n">
        <x:v>0</x:v>
      </x:c>
      <x:c r="J423" s="47" t="str">
        <x:v>USDA FDC / Taiwan FDA / estimate</x:v>
      </x:c>
      <x:c r="K423" s="47"/>
      <x:c r="L423" s="47" t="str">
        <x:v>https://fdc.nal.usda.gov/ ; https://www.fda.gov.tw/tc/siteList.aspx?sid=284 ; https://consumer.fda.gov.tw/Food/TFND.aspx?nodeID=178</x:v>
      </x:c>
    </x:row>
    <x:row r="424">
      <x:c r="A424" s="47" t="str">
        <x:v>FR024</x:v>
      </x:c>
      <x:c r="B424" s="47" t="str">
        <x:v>水果</x:v>
      </x:c>
      <x:c r="C424" s="47" t="str">
        <x:v>李子</x:v>
      </x:c>
      <x:c r="D424" s="47" t="str">
        <x:v>生/可食部</x:v>
      </x:c>
      <x:c r="E424" s="48" t="n">
        <x:v>46</x:v>
      </x:c>
      <x:c r="F424" s="48" t="n">
        <x:v>0.7</x:v>
      </x:c>
      <x:c r="G424" s="48" t="n">
        <x:v>0.3</x:v>
      </x:c>
      <x:c r="H424" s="48" t="n">
        <x:v>11.4</x:v>
      </x:c>
      <x:c r="I424" s="49" t="n">
        <x:v>0</x:v>
      </x:c>
      <x:c r="J424" s="47" t="str">
        <x:v>USDA FDC / Taiwan FDA / estimate</x:v>
      </x:c>
      <x:c r="K424" s="47"/>
      <x:c r="L424" s="47" t="str">
        <x:v>https://fdc.nal.usda.gov/ ; https://www.fda.gov.tw/tc/siteList.aspx?sid=284 ; https://consumer.fda.gov.tw/Food/TFND.aspx?nodeID=178</x:v>
      </x:c>
    </x:row>
    <x:row r="425">
      <x:c r="A425" s="47" t="str">
        <x:v>FR025</x:v>
      </x:c>
      <x:c r="B425" s="47" t="str">
        <x:v>水果</x:v>
      </x:c>
      <x:c r="C425" s="47" t="str">
        <x:v>櫻桃</x:v>
      </x:c>
      <x:c r="D425" s="47" t="str">
        <x:v>生/可食部</x:v>
      </x:c>
      <x:c r="E425" s="48" t="n">
        <x:v>63</x:v>
      </x:c>
      <x:c r="F425" s="48" t="n">
        <x:v>1.1</x:v>
      </x:c>
      <x:c r="G425" s="48" t="n">
        <x:v>0.2</x:v>
      </x:c>
      <x:c r="H425" s="48" t="n">
        <x:v>16</x:v>
      </x:c>
      <x:c r="I425" s="49" t="n">
        <x:v>0</x:v>
      </x:c>
      <x:c r="J425" s="47" t="str">
        <x:v>USDA FDC / Taiwan FDA / estimate</x:v>
      </x:c>
      <x:c r="K425" s="47"/>
      <x:c r="L425" s="47" t="str">
        <x:v>https://fdc.nal.usda.gov/ ; https://www.fda.gov.tw/tc/siteList.aspx?sid=284 ; https://consumer.fda.gov.tw/Food/TFND.aspx?nodeID=178</x:v>
      </x:c>
    </x:row>
    <x:row r="426">
      <x:c r="A426" s="47" t="str">
        <x:v>FR026</x:v>
      </x:c>
      <x:c r="B426" s="47" t="str">
        <x:v>水果</x:v>
      </x:c>
      <x:c r="C426" s="47" t="str">
        <x:v>葡萄柚</x:v>
      </x:c>
      <x:c r="D426" s="47" t="str">
        <x:v>生/可食部</x:v>
      </x:c>
      <x:c r="E426" s="48" t="n">
        <x:v>42</x:v>
      </x:c>
      <x:c r="F426" s="48" t="n">
        <x:v>0.8</x:v>
      </x:c>
      <x:c r="G426" s="48" t="n">
        <x:v>0.1</x:v>
      </x:c>
      <x:c r="H426" s="48" t="n">
        <x:v>10.7</x:v>
      </x:c>
      <x:c r="I426" s="49" t="n">
        <x:v>0</x:v>
      </x:c>
      <x:c r="J426" s="47" t="str">
        <x:v>USDA FDC / Taiwan FDA / estimate</x:v>
      </x:c>
      <x:c r="K426" s="47"/>
      <x:c r="L426" s="47" t="str">
        <x:v>https://fdc.nal.usda.gov/ ; https://www.fda.gov.tw/tc/siteList.aspx?sid=284 ; https://consumer.fda.gov.tw/Food/TFND.aspx?nodeID=178</x:v>
      </x:c>
    </x:row>
    <x:row r="427">
      <x:c r="A427" s="47" t="str">
        <x:v>FR027</x:v>
      </x:c>
      <x:c r="B427" s="47" t="str">
        <x:v>水果</x:v>
      </x:c>
      <x:c r="C427" s="47" t="str">
        <x:v>檸檬</x:v>
      </x:c>
      <x:c r="D427" s="47" t="str">
        <x:v>生/可食部</x:v>
      </x:c>
      <x:c r="E427" s="48" t="n">
        <x:v>29</x:v>
      </x:c>
      <x:c r="F427" s="48" t="n">
        <x:v>1.1</x:v>
      </x:c>
      <x:c r="G427" s="48" t="n">
        <x:v>0.3</x:v>
      </x:c>
      <x:c r="H427" s="48" t="n">
        <x:v>9.3</x:v>
      </x:c>
      <x:c r="I427" s="49" t="n">
        <x:v>2</x:v>
      </x:c>
      <x:c r="J427" s="47" t="str">
        <x:v>USDA FDC / Taiwan FDA / estimate</x:v>
      </x:c>
      <x:c r="K427" s="47" t="str">
        <x:v>通常用量小</x:v>
      </x:c>
      <x:c r="L427" s="47" t="str">
        <x:v>https://fdc.nal.usda.gov/ ; https://www.fda.gov.tw/tc/siteList.aspx?sid=284 ; https://consumer.fda.gov.tw/Food/TFND.aspx?nodeID=178</x:v>
      </x:c>
    </x:row>
    <x:row r="428">
      <x:c r="A428" s="47" t="str">
        <x:v>FR028</x:v>
      </x:c>
      <x:c r="B428" s="47" t="str">
        <x:v>水果</x:v>
      </x:c>
      <x:c r="C428" s="47" t="str">
        <x:v>萊姆</x:v>
      </x:c>
      <x:c r="D428" s="47" t="str">
        <x:v>生/可食部</x:v>
      </x:c>
      <x:c r="E428" s="48" t="n">
        <x:v>30</x:v>
      </x:c>
      <x:c r="F428" s="48" t="n">
        <x:v>0.7</x:v>
      </x:c>
      <x:c r="G428" s="48" t="n">
        <x:v>0.2</x:v>
      </x:c>
      <x:c r="H428" s="48" t="n">
        <x:v>10.5</x:v>
      </x:c>
      <x:c r="I428" s="49" t="n">
        <x:v>2</x:v>
      </x:c>
      <x:c r="J428" s="47" t="str">
        <x:v>USDA FDC / Taiwan FDA / estimate</x:v>
      </x:c>
      <x:c r="K428" s="47" t="str">
        <x:v>通常用量小</x:v>
      </x:c>
      <x:c r="L428" s="47" t="str">
        <x:v>https://fdc.nal.usda.gov/ ; https://www.fda.gov.tw/tc/siteList.aspx?sid=284 ; https://consumer.fda.gov.tw/Food/TFND.aspx?nodeID=178</x:v>
      </x:c>
    </x:row>
    <x:row r="429">
      <x:c r="A429" s="47" t="str">
        <x:v>FR029</x:v>
      </x:c>
      <x:c r="B429" s="47" t="str">
        <x:v>水果</x:v>
      </x:c>
      <x:c r="C429" s="47" t="str">
        <x:v>椪柑</x:v>
      </x:c>
      <x:c r="D429" s="47" t="str">
        <x:v>生/可食部</x:v>
      </x:c>
      <x:c r="E429" s="48" t="n">
        <x:v>53</x:v>
      </x:c>
      <x:c r="F429" s="48" t="n">
        <x:v>0.8</x:v>
      </x:c>
      <x:c r="G429" s="48" t="n">
        <x:v>0.3</x:v>
      </x:c>
      <x:c r="H429" s="48" t="n">
        <x:v>13.3</x:v>
      </x:c>
      <x:c r="I429" s="49" t="n">
        <x:v>2</x:v>
      </x:c>
      <x:c r="J429" s="47" t="str">
        <x:v>USDA FDC / Taiwan FDA / estimate</x:v>
      </x:c>
      <x:c r="K429" s="47"/>
      <x:c r="L429" s="47" t="str">
        <x:v>https://fdc.nal.usda.gov/ ; https://www.fda.gov.tw/tc/siteList.aspx?sid=284 ; https://consumer.fda.gov.tw/Food/TFND.aspx?nodeID=178</x:v>
      </x:c>
    </x:row>
    <x:row r="430">
      <x:c r="A430" s="47" t="str">
        <x:v>FR030</x:v>
      </x:c>
      <x:c r="B430" s="47" t="str">
        <x:v>水果</x:v>
      </x:c>
      <x:c r="C430" s="47" t="str">
        <x:v>橘子</x:v>
      </x:c>
      <x:c r="D430" s="47" t="str">
        <x:v>生/可食部</x:v>
      </x:c>
      <x:c r="E430" s="48" t="n">
        <x:v>53</x:v>
      </x:c>
      <x:c r="F430" s="48" t="n">
        <x:v>0.8</x:v>
      </x:c>
      <x:c r="G430" s="48" t="n">
        <x:v>0.3</x:v>
      </x:c>
      <x:c r="H430" s="48" t="n">
        <x:v>13.3</x:v>
      </x:c>
      <x:c r="I430" s="49" t="n">
        <x:v>2</x:v>
      </x:c>
      <x:c r="J430" s="47" t="str">
        <x:v>USDA FDC / Taiwan FDA / estimate</x:v>
      </x:c>
      <x:c r="K430" s="47"/>
      <x:c r="L430" s="47" t="str">
        <x:v>https://fdc.nal.usda.gov/ ; https://www.fda.gov.tw/tc/siteList.aspx?sid=284 ; https://consumer.fda.gov.tw/Food/TFND.aspx?nodeID=178</x:v>
      </x:c>
    </x:row>
    <x:row r="431">
      <x:c r="A431" s="47" t="str">
        <x:v>FR031</x:v>
      </x:c>
      <x:c r="B431" s="47" t="str">
        <x:v>水果</x:v>
      </x:c>
      <x:c r="C431" s="47" t="str">
        <x:v>文旦</x:v>
      </x:c>
      <x:c r="D431" s="47" t="str">
        <x:v>生/可食部</x:v>
      </x:c>
      <x:c r="E431" s="48" t="n">
        <x:v>38</x:v>
      </x:c>
      <x:c r="F431" s="48" t="n">
        <x:v>0.8</x:v>
      </x:c>
      <x:c r="G431" s="48" t="n">
        <x:v>0</x:v>
      </x:c>
      <x:c r="H431" s="48" t="n">
        <x:v>9.6</x:v>
      </x:c>
      <x:c r="I431" s="49" t="n">
        <x:v>1</x:v>
      </x:c>
      <x:c r="J431" s="47" t="str">
        <x:v>USDA FDC / Taiwan FDA / estimate</x:v>
      </x:c>
      <x:c r="K431" s="47"/>
      <x:c r="L431" s="47" t="str">
        <x:v>https://fdc.nal.usda.gov/ ; https://www.fda.gov.tw/tc/siteList.aspx?sid=284 ; https://consumer.fda.gov.tw/Food/TFND.aspx?nodeID=178</x:v>
      </x:c>
    </x:row>
    <x:row r="432">
      <x:c r="A432" s="47" t="str">
        <x:v>FR032</x:v>
      </x:c>
      <x:c r="B432" s="47" t="str">
        <x:v>水果</x:v>
      </x:c>
      <x:c r="C432" s="47" t="str">
        <x:v>荔枝</x:v>
      </x:c>
      <x:c r="D432" s="47" t="str">
        <x:v>生/可食部</x:v>
      </x:c>
      <x:c r="E432" s="48" t="n">
        <x:v>66</x:v>
      </x:c>
      <x:c r="F432" s="48" t="n">
        <x:v>0.8</x:v>
      </x:c>
      <x:c r="G432" s="48" t="n">
        <x:v>0.4</x:v>
      </x:c>
      <x:c r="H432" s="48" t="n">
        <x:v>16.5</x:v>
      </x:c>
      <x:c r="I432" s="49" t="n">
        <x:v>1</x:v>
      </x:c>
      <x:c r="J432" s="47" t="str">
        <x:v>USDA FDC / Taiwan FDA / estimate</x:v>
      </x:c>
      <x:c r="K432" s="47"/>
      <x:c r="L432" s="47" t="str">
        <x:v>https://fdc.nal.usda.gov/ ; https://www.fda.gov.tw/tc/siteList.aspx?sid=284 ; https://consumer.fda.gov.tw/Food/TFND.aspx?nodeID=178</x:v>
      </x:c>
    </x:row>
    <x:row r="433">
      <x:c r="A433" s="47" t="str">
        <x:v>FR033</x:v>
      </x:c>
      <x:c r="B433" s="47" t="str">
        <x:v>水果</x:v>
      </x:c>
      <x:c r="C433" s="47" t="str">
        <x:v>龍眼</x:v>
      </x:c>
      <x:c r="D433" s="47" t="str">
        <x:v>生/可食部</x:v>
      </x:c>
      <x:c r="E433" s="48" t="n">
        <x:v>60</x:v>
      </x:c>
      <x:c r="F433" s="48" t="n">
        <x:v>1.3</x:v>
      </x:c>
      <x:c r="G433" s="48" t="n">
        <x:v>0.1</x:v>
      </x:c>
      <x:c r="H433" s="48" t="n">
        <x:v>15.1</x:v>
      </x:c>
      <x:c r="I433" s="49" t="n">
        <x:v>0</x:v>
      </x:c>
      <x:c r="J433" s="47" t="str">
        <x:v>USDA FDC / Taiwan FDA / estimate</x:v>
      </x:c>
      <x:c r="K433" s="47"/>
      <x:c r="L433" s="47" t="str">
        <x:v>https://fdc.nal.usda.gov/ ; https://www.fda.gov.tw/tc/siteList.aspx?sid=284 ; https://consumer.fda.gov.tw/Food/TFND.aspx?nodeID=178</x:v>
      </x:c>
    </x:row>
    <x:row r="434">
      <x:c r="A434" s="47" t="str">
        <x:v>FR034</x:v>
      </x:c>
      <x:c r="B434" s="47" t="str">
        <x:v>水果</x:v>
      </x:c>
      <x:c r="C434" s="47" t="str">
        <x:v>釋迦</x:v>
      </x:c>
      <x:c r="D434" s="47" t="str">
        <x:v>生/可食部</x:v>
      </x:c>
      <x:c r="E434" s="48" t="n">
        <x:v>94</x:v>
      </x:c>
      <x:c r="F434" s="48" t="n">
        <x:v>2.1</x:v>
      </x:c>
      <x:c r="G434" s="48" t="n">
        <x:v>0.3</x:v>
      </x:c>
      <x:c r="H434" s="48" t="n">
        <x:v>23.6</x:v>
      </x:c>
      <x:c r="I434" s="49" t="n">
        <x:v>9</x:v>
      </x:c>
      <x:c r="J434" s="47" t="str">
        <x:v>USDA FDC / Taiwan FDA / estimate</x:v>
      </x:c>
      <x:c r="K434" s="47"/>
      <x:c r="L434" s="47" t="str">
        <x:v>https://fdc.nal.usda.gov/ ; https://www.fda.gov.tw/tc/siteList.aspx?sid=284 ; https://consumer.fda.gov.tw/Food/TFND.aspx?nodeID=178</x:v>
      </x:c>
    </x:row>
    <x:row r="435">
      <x:c r="A435" s="47" t="str">
        <x:v>FR035</x:v>
      </x:c>
      <x:c r="B435" s="47" t="str">
        <x:v>水果</x:v>
      </x:c>
      <x:c r="C435" s="47" t="str">
        <x:v>百香果</x:v>
      </x:c>
      <x:c r="D435" s="47" t="str">
        <x:v>生/可食部</x:v>
      </x:c>
      <x:c r="E435" s="48" t="n">
        <x:v>97</x:v>
      </x:c>
      <x:c r="F435" s="48" t="n">
        <x:v>2.2</x:v>
      </x:c>
      <x:c r="G435" s="48" t="n">
        <x:v>0.7</x:v>
      </x:c>
      <x:c r="H435" s="48" t="n">
        <x:v>23.4</x:v>
      </x:c>
      <x:c r="I435" s="49" t="n">
        <x:v>28</x:v>
      </x:c>
      <x:c r="J435" s="47" t="str">
        <x:v>USDA FDC / Taiwan FDA / estimate</x:v>
      </x:c>
      <x:c r="K435" s="47" t="str">
        <x:v>籽可食</x:v>
      </x:c>
      <x:c r="L435" s="47" t="str">
        <x:v>https://fdc.nal.usda.gov/ ; https://www.fda.gov.tw/tc/siteList.aspx?sid=284 ; https://consumer.fda.gov.tw/Food/TFND.aspx?nodeID=178</x:v>
      </x:c>
    </x:row>
    <x:row r="436">
      <x:c r="A436" s="47" t="str">
        <x:v>FR036</x:v>
      </x:c>
      <x:c r="B436" s="47" t="str">
        <x:v>水果</x:v>
      </x:c>
      <x:c r="C436" s="47" t="str">
        <x:v>番石榴（白肉）</x:v>
      </x:c>
      <x:c r="D436" s="47" t="str">
        <x:v>生/可食部</x:v>
      </x:c>
      <x:c r="E436" s="48" t="n">
        <x:v>68</x:v>
      </x:c>
      <x:c r="F436" s="48" t="n">
        <x:v>2.6</x:v>
      </x:c>
      <x:c r="G436" s="48" t="n">
        <x:v>1</x:v>
      </x:c>
      <x:c r="H436" s="48" t="n">
        <x:v>14.3</x:v>
      </x:c>
      <x:c r="I436" s="49" t="n">
        <x:v>2</x:v>
      </x:c>
      <x:c r="J436" s="47" t="str">
        <x:v>USDA FDC / Taiwan FDA / estimate</x:v>
      </x:c>
      <x:c r="K436" s="47"/>
      <x:c r="L436" s="47" t="str">
        <x:v>https://fdc.nal.usda.gov/ ; https://www.fda.gov.tw/tc/siteList.aspx?sid=284 ; https://consumer.fda.gov.tw/Food/TFND.aspx?nodeID=178</x:v>
      </x:c>
    </x:row>
    <x:row r="437">
      <x:c r="A437" s="47" t="str">
        <x:v>FR037</x:v>
      </x:c>
      <x:c r="B437" s="47" t="str">
        <x:v>水果</x:v>
      </x:c>
      <x:c r="C437" s="47" t="str">
        <x:v>番石榴（紅心）</x:v>
      </x:c>
      <x:c r="D437" s="47" t="str">
        <x:v>生/可食部</x:v>
      </x:c>
      <x:c r="E437" s="48" t="n">
        <x:v>68</x:v>
      </x:c>
      <x:c r="F437" s="48" t="n">
        <x:v>2.6</x:v>
      </x:c>
      <x:c r="G437" s="48" t="n">
        <x:v>1</x:v>
      </x:c>
      <x:c r="H437" s="48" t="n">
        <x:v>14.3</x:v>
      </x:c>
      <x:c r="I437" s="49" t="n">
        <x:v>2</x:v>
      </x:c>
      <x:c r="J437" s="47" t="str">
        <x:v>USDA FDC / Taiwan FDA / estimate</x:v>
      </x:c>
      <x:c r="K437" s="47"/>
      <x:c r="L437" s="47" t="str">
        <x:v>https://fdc.nal.usda.gov/ ; https://www.fda.gov.tw/tc/siteList.aspx?sid=284 ; https://consumer.fda.gov.tw/Food/TFND.aspx?nodeID=178</x:v>
      </x:c>
    </x:row>
    <x:row r="438">
      <x:c r="A438" s="47" t="str">
        <x:v>FR038</x:v>
      </x:c>
      <x:c r="B438" s="47" t="str">
        <x:v>水果</x:v>
      </x:c>
      <x:c r="C438" s="47" t="str">
        <x:v>芭樂（去籽）</x:v>
      </x:c>
      <x:c r="D438" s="47" t="str">
        <x:v>生/可食部</x:v>
      </x:c>
      <x:c r="E438" s="48" t="n">
        <x:v>60</x:v>
      </x:c>
      <x:c r="F438" s="48" t="n">
        <x:v>2.3</x:v>
      </x:c>
      <x:c r="G438" s="48" t="n">
        <x:v>0.8</x:v>
      </x:c>
      <x:c r="H438" s="48" t="n">
        <x:v>12.5</x:v>
      </x:c>
      <x:c r="I438" s="49" t="n">
        <x:v>2</x:v>
      </x:c>
      <x:c r="J438" s="47" t="str">
        <x:v>USDA FDC / Taiwan FDA / estimate</x:v>
      </x:c>
      <x:c r="K438" s="47"/>
      <x:c r="L438" s="47" t="str">
        <x:v>https://fdc.nal.usda.gov/ ; https://www.fda.gov.tw/tc/siteList.aspx?sid=284 ; https://consumer.fda.gov.tw/Food/TFND.aspx?nodeID=178</x:v>
      </x:c>
    </x:row>
    <x:row r="439">
      <x:c r="A439" s="47" t="str">
        <x:v>FR039</x:v>
      </x:c>
      <x:c r="B439" s="47" t="str">
        <x:v>水果</x:v>
      </x:c>
      <x:c r="C439" s="47" t="str">
        <x:v>紅肉火龍果</x:v>
      </x:c>
      <x:c r="D439" s="47" t="str">
        <x:v>生/可食部</x:v>
      </x:c>
      <x:c r="E439" s="48" t="n">
        <x:v>57</x:v>
      </x:c>
      <x:c r="F439" s="48" t="n">
        <x:v>1.1</x:v>
      </x:c>
      <x:c r="G439" s="48" t="n">
        <x:v>0.1</x:v>
      </x:c>
      <x:c r="H439" s="48" t="n">
        <x:v>13</x:v>
      </x:c>
      <x:c r="I439" s="49" t="n">
        <x:v>0</x:v>
      </x:c>
      <x:c r="J439" s="47" t="str">
        <x:v>USDA FDC / Taiwan FDA / estimate</x:v>
      </x:c>
      <x:c r="K439" s="47"/>
      <x:c r="L439" s="47" t="str">
        <x:v>https://fdc.nal.usda.gov/ ; https://www.fda.gov.tw/tc/siteList.aspx?sid=284 ; https://consumer.fda.gov.tw/Food/TFND.aspx?nodeID=178</x:v>
      </x:c>
    </x:row>
    <x:row r="440">
      <x:c r="A440" s="47" t="str">
        <x:v>FR040</x:v>
      </x:c>
      <x:c r="B440" s="47" t="str">
        <x:v>水果</x:v>
      </x:c>
      <x:c r="C440" s="47" t="str">
        <x:v>白肉火龍果</x:v>
      </x:c>
      <x:c r="D440" s="47" t="str">
        <x:v>生/可食部</x:v>
      </x:c>
      <x:c r="E440" s="48" t="n">
        <x:v>57</x:v>
      </x:c>
      <x:c r="F440" s="48" t="n">
        <x:v>1.1</x:v>
      </x:c>
      <x:c r="G440" s="48" t="n">
        <x:v>0.1</x:v>
      </x:c>
      <x:c r="H440" s="48" t="n">
        <x:v>13</x:v>
      </x:c>
      <x:c r="I440" s="49" t="n">
        <x:v>0</x:v>
      </x:c>
      <x:c r="J440" s="47" t="str">
        <x:v>USDA FDC / Taiwan FDA / estimate</x:v>
      </x:c>
      <x:c r="K440" s="47"/>
      <x:c r="L440" s="47" t="str">
        <x:v>https://fdc.nal.usda.gov/ ; https://www.fda.gov.tw/tc/siteList.aspx?sid=284 ; https://consumer.fda.gov.tw/Food/TFND.aspx?nodeID=178</x:v>
      </x:c>
    </x:row>
    <x:row r="441">
      <x:c r="A441" s="47" t="str">
        <x:v>FR041</x:v>
      </x:c>
      <x:c r="B441" s="47" t="str">
        <x:v>水果</x:v>
      </x:c>
      <x:c r="C441" s="47" t="str">
        <x:v>哈密瓜</x:v>
      </x:c>
      <x:c r="D441" s="47" t="str">
        <x:v>生/可食部</x:v>
      </x:c>
      <x:c r="E441" s="48" t="n">
        <x:v>34</x:v>
      </x:c>
      <x:c r="F441" s="48" t="n">
        <x:v>0.8</x:v>
      </x:c>
      <x:c r="G441" s="48" t="n">
        <x:v>0.2</x:v>
      </x:c>
      <x:c r="H441" s="48" t="n">
        <x:v>8.2</x:v>
      </x:c>
      <x:c r="I441" s="49" t="n">
        <x:v>16</x:v>
      </x:c>
      <x:c r="J441" s="47" t="str">
        <x:v>USDA FDC / Taiwan FDA / estimate</x:v>
      </x:c>
      <x:c r="K441" s="47"/>
      <x:c r="L441" s="47" t="str">
        <x:v>https://fdc.nal.usda.gov/ ; https://www.fda.gov.tw/tc/siteList.aspx?sid=284 ; https://consumer.fda.gov.tw/Food/TFND.aspx?nodeID=178</x:v>
      </x:c>
    </x:row>
    <x:row r="442">
      <x:c r="A442" s="47" t="str">
        <x:v>FR042</x:v>
      </x:c>
      <x:c r="B442" s="47" t="str">
        <x:v>水果</x:v>
      </x:c>
      <x:c r="C442" s="47" t="str">
        <x:v>香瓜</x:v>
      </x:c>
      <x:c r="D442" s="47" t="str">
        <x:v>生/可食部</x:v>
      </x:c>
      <x:c r="E442" s="48" t="n">
        <x:v>34</x:v>
      </x:c>
      <x:c r="F442" s="48" t="n">
        <x:v>0.8</x:v>
      </x:c>
      <x:c r="G442" s="48" t="n">
        <x:v>0.2</x:v>
      </x:c>
      <x:c r="H442" s="48" t="n">
        <x:v>8.2</x:v>
      </x:c>
      <x:c r="I442" s="49" t="n">
        <x:v>16</x:v>
      </x:c>
      <x:c r="J442" s="47" t="str">
        <x:v>USDA FDC / Taiwan FDA / estimate</x:v>
      </x:c>
      <x:c r="K442" s="47"/>
      <x:c r="L442" s="47" t="str">
        <x:v>https://fdc.nal.usda.gov/ ; https://www.fda.gov.tw/tc/siteList.aspx?sid=284 ; https://consumer.fda.gov.tw/Food/TFND.aspx?nodeID=178</x:v>
      </x:c>
    </x:row>
    <x:row r="443">
      <x:c r="A443" s="47" t="str">
        <x:v>FR043</x:v>
      </x:c>
      <x:c r="B443" s="47" t="str">
        <x:v>水果</x:v>
      </x:c>
      <x:c r="C443" s="47" t="str">
        <x:v>美濃瓜</x:v>
      </x:c>
      <x:c r="D443" s="47" t="str">
        <x:v>生/可食部</x:v>
      </x:c>
      <x:c r="E443" s="48" t="n">
        <x:v>34</x:v>
      </x:c>
      <x:c r="F443" s="48" t="n">
        <x:v>0.8</x:v>
      </x:c>
      <x:c r="G443" s="48" t="n">
        <x:v>0.2</x:v>
      </x:c>
      <x:c r="H443" s="48" t="n">
        <x:v>8.2</x:v>
      </x:c>
      <x:c r="I443" s="49" t="n">
        <x:v>16</x:v>
      </x:c>
      <x:c r="J443" s="47" t="str">
        <x:v>USDA FDC / Taiwan FDA / estimate</x:v>
      </x:c>
      <x:c r="K443" s="47"/>
      <x:c r="L443" s="47" t="str">
        <x:v>https://fdc.nal.usda.gov/ ; https://www.fda.gov.tw/tc/siteList.aspx?sid=284 ; https://consumer.fda.gov.tw/Food/TFND.aspx?nodeID=178</x:v>
      </x:c>
    </x:row>
    <x:row r="444">
      <x:c r="A444" s="47" t="str">
        <x:v>FR044</x:v>
      </x:c>
      <x:c r="B444" s="47" t="str">
        <x:v>水果</x:v>
      </x:c>
      <x:c r="C444" s="47" t="str">
        <x:v>木瓜（熟）</x:v>
      </x:c>
      <x:c r="D444" s="47" t="str">
        <x:v>生/可食部</x:v>
      </x:c>
      <x:c r="E444" s="48" t="n">
        <x:v>43</x:v>
      </x:c>
      <x:c r="F444" s="48" t="n">
        <x:v>0.5</x:v>
      </x:c>
      <x:c r="G444" s="48" t="n">
        <x:v>0.3</x:v>
      </x:c>
      <x:c r="H444" s="48" t="n">
        <x:v>10.8</x:v>
      </x:c>
      <x:c r="I444" s="49" t="n">
        <x:v>8</x:v>
      </x:c>
      <x:c r="J444" s="47" t="str">
        <x:v>USDA FDC / Taiwan FDA / estimate</x:v>
      </x:c>
      <x:c r="K444" s="47"/>
      <x:c r="L444" s="47" t="str">
        <x:v>https://fdc.nal.usda.gov/ ; https://www.fda.gov.tw/tc/siteList.aspx?sid=284 ; https://consumer.fda.gov.tw/Food/TFND.aspx?nodeID=178</x:v>
      </x:c>
    </x:row>
    <x:row r="445">
      <x:c r="A445" s="47" t="str">
        <x:v>FR045</x:v>
      </x:c>
      <x:c r="B445" s="47" t="str">
        <x:v>水果</x:v>
      </x:c>
      <x:c r="C445" s="47" t="str">
        <x:v>芒果（愛文）</x:v>
      </x:c>
      <x:c r="D445" s="47" t="str">
        <x:v>生/可食部</x:v>
      </x:c>
      <x:c r="E445" s="48" t="n">
        <x:v>60</x:v>
      </x:c>
      <x:c r="F445" s="48" t="n">
        <x:v>0.8</x:v>
      </x:c>
      <x:c r="G445" s="48" t="n">
        <x:v>0.4</x:v>
      </x:c>
      <x:c r="H445" s="48" t="n">
        <x:v>15</x:v>
      </x:c>
      <x:c r="I445" s="49" t="n">
        <x:v>1</x:v>
      </x:c>
      <x:c r="J445" s="47" t="str">
        <x:v>USDA FDC / Taiwan FDA / estimate</x:v>
      </x:c>
      <x:c r="K445" s="47"/>
      <x:c r="L445" s="47" t="str">
        <x:v>https://fdc.nal.usda.gov/ ; https://www.fda.gov.tw/tc/siteList.aspx?sid=284 ; https://consumer.fda.gov.tw/Food/TFND.aspx?nodeID=178</x:v>
      </x:c>
    </x:row>
    <x:row r="446">
      <x:c r="A446" s="47" t="str">
        <x:v>FR046</x:v>
      </x:c>
      <x:c r="B446" s="47" t="str">
        <x:v>水果</x:v>
      </x:c>
      <x:c r="C446" s="47" t="str">
        <x:v>芒果（青芒果）</x:v>
      </x:c>
      <x:c r="D446" s="47" t="str">
        <x:v>生/可食部</x:v>
      </x:c>
      <x:c r="E446" s="48" t="n">
        <x:v>65</x:v>
      </x:c>
      <x:c r="F446" s="48" t="n">
        <x:v>0.8</x:v>
      </x:c>
      <x:c r="G446" s="48" t="n">
        <x:v>0.4</x:v>
      </x:c>
      <x:c r="H446" s="48" t="n">
        <x:v>16</x:v>
      </x:c>
      <x:c r="I446" s="49" t="n">
        <x:v>1</x:v>
      </x:c>
      <x:c r="J446" s="47" t="str">
        <x:v>USDA FDC / Taiwan FDA / estimate</x:v>
      </x:c>
      <x:c r="K446" s="47"/>
      <x:c r="L446" s="47" t="str">
        <x:v>https://fdc.nal.usda.gov/ ; https://www.fda.gov.tw/tc/siteList.aspx?sid=284 ; https://consumer.fda.gov.tw/Food/TFND.aspx?nodeID=178</x:v>
      </x:c>
    </x:row>
    <x:row r="447">
      <x:c r="A447" s="47" t="str">
        <x:v>FR047</x:v>
      </x:c>
      <x:c r="B447" s="47" t="str">
        <x:v>水果</x:v>
      </x:c>
      <x:c r="C447" s="47" t="str">
        <x:v>鳳梨（新鮮）</x:v>
      </x:c>
      <x:c r="D447" s="47" t="str">
        <x:v>生/可食部</x:v>
      </x:c>
      <x:c r="E447" s="48" t="n">
        <x:v>50</x:v>
      </x:c>
      <x:c r="F447" s="48" t="n">
        <x:v>0.5</x:v>
      </x:c>
      <x:c r="G447" s="48" t="n">
        <x:v>0.1</x:v>
      </x:c>
      <x:c r="H447" s="48" t="n">
        <x:v>13.1</x:v>
      </x:c>
      <x:c r="I447" s="49" t="n">
        <x:v>1</x:v>
      </x:c>
      <x:c r="J447" s="47" t="str">
        <x:v>USDA FDC / Taiwan FDA / estimate</x:v>
      </x:c>
      <x:c r="K447" s="47"/>
      <x:c r="L447" s="47" t="str">
        <x:v>https://fdc.nal.usda.gov/ ; https://www.fda.gov.tw/tc/siteList.aspx?sid=284 ; https://consumer.fda.gov.tw/Food/TFND.aspx?nodeID=178</x:v>
      </x:c>
    </x:row>
    <x:row r="448">
      <x:c r="A448" s="47" t="str">
        <x:v>FR048</x:v>
      </x:c>
      <x:c r="B448" s="47" t="str">
        <x:v>水果</x:v>
      </x:c>
      <x:c r="C448" s="47" t="str">
        <x:v>香蕉（熟）</x:v>
      </x:c>
      <x:c r="D448" s="47" t="str">
        <x:v>生/可食部</x:v>
      </x:c>
      <x:c r="E448" s="48" t="n">
        <x:v>89</x:v>
      </x:c>
      <x:c r="F448" s="48" t="n">
        <x:v>1.1</x:v>
      </x:c>
      <x:c r="G448" s="48" t="n">
        <x:v>0.3</x:v>
      </x:c>
      <x:c r="H448" s="48" t="n">
        <x:v>22.8</x:v>
      </x:c>
      <x:c r="I448" s="49" t="n">
        <x:v>1</x:v>
      </x:c>
      <x:c r="J448" s="47" t="str">
        <x:v>USDA FDC / Taiwan FDA / estimate</x:v>
      </x:c>
      <x:c r="K448" s="47"/>
      <x:c r="L448" s="47" t="str">
        <x:v>https://fdc.nal.usda.gov/ ; https://www.fda.gov.tw/tc/siteList.aspx?sid=284 ; https://consumer.fda.gov.tw/Food/TFND.aspx?nodeID=178</x:v>
      </x:c>
    </x:row>
    <x:row r="449">
      <x:c r="A449" s="47" t="str">
        <x:v>FR049</x:v>
      </x:c>
      <x:c r="B449" s="47" t="str">
        <x:v>水果</x:v>
      </x:c>
      <x:c r="C449" s="47" t="str">
        <x:v>香蕉（未熟偏青）</x:v>
      </x:c>
      <x:c r="D449" s="47" t="str">
        <x:v>生/可食部</x:v>
      </x:c>
      <x:c r="E449" s="48" t="n">
        <x:v>89</x:v>
      </x:c>
      <x:c r="F449" s="48" t="n">
        <x:v>1.1</x:v>
      </x:c>
      <x:c r="G449" s="48" t="n">
        <x:v>0.3</x:v>
      </x:c>
      <x:c r="H449" s="48" t="n">
        <x:v>22.8</x:v>
      </x:c>
      <x:c r="I449" s="49" t="n">
        <x:v>1</x:v>
      </x:c>
      <x:c r="J449" s="47" t="str">
        <x:v>USDA FDC / Taiwan FDA / estimate</x:v>
      </x:c>
      <x:c r="K449" s="47" t="str">
        <x:v>抗性澱粉比例較高但總碳水近似</x:v>
      </x:c>
      <x:c r="L449" s="47" t="str">
        <x:v>https://fdc.nal.usda.gov/ ; https://www.fda.gov.tw/tc/siteList.aspx?sid=284 ; https://consumer.fda.gov.tw/Food/TFND.aspx?nodeID=178</x:v>
      </x:c>
    </x:row>
    <x:row r="450">
      <x:c r="A450" s="47" t="str">
        <x:v>FR050</x:v>
      </x:c>
      <x:c r="B450" s="47" t="str">
        <x:v>水果</x:v>
      </x:c>
      <x:c r="C450" s="47" t="str">
        <x:v>奇異果（綠）</x:v>
      </x:c>
      <x:c r="D450" s="47" t="str">
        <x:v>生/可食部</x:v>
      </x:c>
      <x:c r="E450" s="48" t="n">
        <x:v>61</x:v>
      </x:c>
      <x:c r="F450" s="48" t="n">
        <x:v>1.1</x:v>
      </x:c>
      <x:c r="G450" s="48" t="n">
        <x:v>0.5</x:v>
      </x:c>
      <x:c r="H450" s="48" t="n">
        <x:v>14.7</x:v>
      </x:c>
      <x:c r="I450" s="49" t="n">
        <x:v>3</x:v>
      </x:c>
      <x:c r="J450" s="47" t="str">
        <x:v>USDA FDC / Taiwan FDA / estimate</x:v>
      </x:c>
      <x:c r="K450" s="47"/>
      <x:c r="L450" s="47" t="str">
        <x:v>https://fdc.nal.usda.gov/ ; https://www.fda.gov.tw/tc/siteList.aspx?sid=284 ; https://consumer.fda.gov.tw/Food/TFND.aspx?nodeID=178</x:v>
      </x:c>
    </x:row>
    <x:row r="451">
      <x:c r="A451" s="47" t="str">
        <x:v>FR051</x:v>
      </x:c>
      <x:c r="B451" s="47" t="str">
        <x:v>水果</x:v>
      </x:c>
      <x:c r="C451" s="47" t="str">
        <x:v>奇異果（金）</x:v>
      </x:c>
      <x:c r="D451" s="47" t="str">
        <x:v>生/可食部</x:v>
      </x:c>
      <x:c r="E451" s="48" t="n">
        <x:v>63</x:v>
      </x:c>
      <x:c r="F451" s="48" t="n">
        <x:v>1.2</x:v>
      </x:c>
      <x:c r="G451" s="48" t="n">
        <x:v>0.6</x:v>
      </x:c>
      <x:c r="H451" s="48" t="n">
        <x:v>15</x:v>
      </x:c>
      <x:c r="I451" s="49" t="n">
        <x:v>3</x:v>
      </x:c>
      <x:c r="J451" s="47" t="str">
        <x:v>USDA FDC / Taiwan FDA / estimate</x:v>
      </x:c>
      <x:c r="K451" s="47"/>
      <x:c r="L451" s="47" t="str">
        <x:v>https://fdc.nal.usda.gov/ ; https://www.fda.gov.tw/tc/siteList.aspx?sid=284 ; https://consumer.fda.gov.tw/Food/TFND.aspx?nodeID=178</x:v>
      </x:c>
    </x:row>
    <x:row r="452">
      <x:c r="A452" s="47" t="str">
        <x:v>FR052</x:v>
      </x:c>
      <x:c r="B452" s="47" t="str">
        <x:v>水果</x:v>
      </x:c>
      <x:c r="C452" s="47" t="str">
        <x:v>桑葚</x:v>
      </x:c>
      <x:c r="D452" s="47" t="str">
        <x:v>生/可食部</x:v>
      </x:c>
      <x:c r="E452" s="48" t="n">
        <x:v>43</x:v>
      </x:c>
      <x:c r="F452" s="48" t="n">
        <x:v>1.4</x:v>
      </x:c>
      <x:c r="G452" s="48" t="n">
        <x:v>0.4</x:v>
      </x:c>
      <x:c r="H452" s="48" t="n">
        <x:v>10</x:v>
      </x:c>
      <x:c r="I452" s="49" t="n">
        <x:v>10</x:v>
      </x:c>
      <x:c r="J452" s="47" t="str">
        <x:v>USDA FDC / Taiwan FDA / estimate</x:v>
      </x:c>
      <x:c r="K452" s="47"/>
      <x:c r="L452" s="47" t="str">
        <x:v>https://fdc.nal.usda.gov/ ; https://www.fda.gov.tw/tc/siteList.aspx?sid=284 ; https://consumer.fda.gov.tw/Food/TFND.aspx?nodeID=178</x:v>
      </x:c>
    </x:row>
    <x:row r="453">
      <x:c r="A453" s="47" t="str">
        <x:v>FR053</x:v>
      </x:c>
      <x:c r="B453" s="47" t="str">
        <x:v>水果</x:v>
      </x:c>
      <x:c r="C453" s="47" t="str">
        <x:v>蔓越莓（新鮮）</x:v>
      </x:c>
      <x:c r="D453" s="47" t="str">
        <x:v>生/可食部</x:v>
      </x:c>
      <x:c r="E453" s="48" t="n">
        <x:v>46</x:v>
      </x:c>
      <x:c r="F453" s="48" t="n">
        <x:v>0.4</x:v>
      </x:c>
      <x:c r="G453" s="48" t="n">
        <x:v>0.1</x:v>
      </x:c>
      <x:c r="H453" s="48" t="n">
        <x:v>12.2</x:v>
      </x:c>
      <x:c r="I453" s="49" t="n">
        <x:v>2</x:v>
      </x:c>
      <x:c r="J453" s="47" t="str">
        <x:v>USDA FDC / Taiwan FDA / estimate</x:v>
      </x:c>
      <x:c r="K453" s="47"/>
      <x:c r="L453" s="47" t="str">
        <x:v>https://fdc.nal.usda.gov/ ; https://www.fda.gov.tw/tc/siteList.aspx?sid=284 ; https://consumer.fda.gov.tw/Food/TFND.aspx?nodeID=178</x:v>
      </x:c>
    </x:row>
    <x:row r="454">
      <x:c r="A454" s="47" t="str">
        <x:v>FR054</x:v>
      </x:c>
      <x:c r="B454" s="47" t="str">
        <x:v>水果</x:v>
      </x:c>
      <x:c r="C454" s="47" t="str">
        <x:v>覆盆莓</x:v>
      </x:c>
      <x:c r="D454" s="47" t="str">
        <x:v>生/可食部</x:v>
      </x:c>
      <x:c r="E454" s="48" t="n">
        <x:v>52</x:v>
      </x:c>
      <x:c r="F454" s="48" t="n">
        <x:v>1.2</x:v>
      </x:c>
      <x:c r="G454" s="48" t="n">
        <x:v>0.7</x:v>
      </x:c>
      <x:c r="H454" s="48" t="n">
        <x:v>11.9</x:v>
      </x:c>
      <x:c r="I454" s="49" t="n">
        <x:v>1</x:v>
      </x:c>
      <x:c r="J454" s="47" t="str">
        <x:v>USDA FDC / Taiwan FDA / estimate</x:v>
      </x:c>
      <x:c r="K454" s="47"/>
      <x:c r="L454" s="47" t="str">
        <x:v>https://fdc.nal.usda.gov/ ; https://www.fda.gov.tw/tc/siteList.aspx?sid=284 ; https://consumer.fda.gov.tw/Food/TFND.aspx?nodeID=178</x:v>
      </x:c>
    </x:row>
    <x:row r="455">
      <x:c r="A455" s="47" t="str">
        <x:v>FR055</x:v>
      </x:c>
      <x:c r="B455" s="47" t="str">
        <x:v>水果</x:v>
      </x:c>
      <x:c r="C455" s="47" t="str">
        <x:v>黑莓</x:v>
      </x:c>
      <x:c r="D455" s="47" t="str">
        <x:v>生/可食部</x:v>
      </x:c>
      <x:c r="E455" s="48" t="n">
        <x:v>43</x:v>
      </x:c>
      <x:c r="F455" s="48" t="n">
        <x:v>1.4</x:v>
      </x:c>
      <x:c r="G455" s="48" t="n">
        <x:v>0.5</x:v>
      </x:c>
      <x:c r="H455" s="48" t="n">
        <x:v>10.2</x:v>
      </x:c>
      <x:c r="I455" s="49" t="n">
        <x:v>1</x:v>
      </x:c>
      <x:c r="J455" s="47" t="str">
        <x:v>USDA FDC / Taiwan FDA / estimate</x:v>
      </x:c>
      <x:c r="K455" s="47"/>
      <x:c r="L455" s="47" t="str">
        <x:v>https://fdc.nal.usda.gov/ ; https://www.fda.gov.tw/tc/siteList.aspx?sid=284 ; https://consumer.fda.gov.tw/Food/TFND.aspx?nodeID=178</x:v>
      </x:c>
    </x:row>
    <x:row r="456">
      <x:c r="A456" s="47" t="str">
        <x:v>FR056</x:v>
      </x:c>
      <x:c r="B456" s="47" t="str">
        <x:v>水果</x:v>
      </x:c>
      <x:c r="C456" s="47" t="str">
        <x:v>椰子肉</x:v>
      </x:c>
      <x:c r="D456" s="47" t="str">
        <x:v>生/可食部</x:v>
      </x:c>
      <x:c r="E456" s="48" t="n">
        <x:v>354</x:v>
      </x:c>
      <x:c r="F456" s="48" t="n">
        <x:v>3.3</x:v>
      </x:c>
      <x:c r="G456" s="48" t="n">
        <x:v>33.5</x:v>
      </x:c>
      <x:c r="H456" s="48" t="n">
        <x:v>15.2</x:v>
      </x:c>
      <x:c r="I456" s="49" t="n">
        <x:v>20</x:v>
      </x:c>
      <x:c r="J456" s="47" t="str">
        <x:v>USDA FDC / Taiwan FDA / estimate</x:v>
      </x:c>
      <x:c r="K456" s="47" t="str">
        <x:v>高脂水果</x:v>
      </x:c>
      <x:c r="L456" s="47" t="str">
        <x:v>https://fdc.nal.usda.gov/ ; https://www.fda.gov.tw/tc/siteList.aspx?sid=284 ; https://consumer.fda.gov.tw/Food/TFND.aspx?nodeID=178</x:v>
      </x:c>
    </x:row>
    <x:row r="457">
      <x:c r="A457" s="47" t="str">
        <x:v>FR057</x:v>
      </x:c>
      <x:c r="B457" s="47" t="str">
        <x:v>水果</x:v>
      </x:c>
      <x:c r="C457" s="47" t="str">
        <x:v>椰子水</x:v>
      </x:c>
      <x:c r="D457" s="47" t="str">
        <x:v>液體/100ml</x:v>
      </x:c>
      <x:c r="E457" s="48" t="n">
        <x:v>19</x:v>
      </x:c>
      <x:c r="F457" s="48" t="n">
        <x:v>0.7</x:v>
      </x:c>
      <x:c r="G457" s="48" t="n">
        <x:v>0.2</x:v>
      </x:c>
      <x:c r="H457" s="48" t="n">
        <x:v>3.7</x:v>
      </x:c>
      <x:c r="I457" s="49" t="n">
        <x:v>105</x:v>
      </x:c>
      <x:c r="J457" s="47" t="str">
        <x:v>USDA FDC / Taiwan FDA / estimate</x:v>
      </x:c>
      <x:c r="K457" s="47"/>
      <x:c r="L457" s="47" t="str">
        <x:v>https://fdc.nal.usda.gov/ ; https://www.fda.gov.tw/tc/siteList.aspx?sid=284 ; https://consumer.fda.gov.tw/Food/TFND.aspx?nodeID=178</x:v>
      </x:c>
    </x:row>
    <x:row r="458">
      <x:c r="A458" s="47" t="str">
        <x:v>FR058</x:v>
      </x:c>
      <x:c r="B458" s="47" t="str">
        <x:v>水果</x:v>
      </x:c>
      <x:c r="C458" s="47" t="str">
        <x:v>榴槤</x:v>
      </x:c>
      <x:c r="D458" s="47" t="str">
        <x:v>生/可食部</x:v>
      </x:c>
      <x:c r="E458" s="48" t="n">
        <x:v>147</x:v>
      </x:c>
      <x:c r="F458" s="48" t="n">
        <x:v>1.5</x:v>
      </x:c>
      <x:c r="G458" s="48" t="n">
        <x:v>5.3</x:v>
      </x:c>
      <x:c r="H458" s="48" t="n">
        <x:v>27.1</x:v>
      </x:c>
      <x:c r="I458" s="49" t="n">
        <x:v>2</x:v>
      </x:c>
      <x:c r="J458" s="47" t="str">
        <x:v>USDA FDC / Taiwan FDA / estimate</x:v>
      </x:c>
      <x:c r="K458" s="47" t="str">
        <x:v>高熱量水果</x:v>
      </x:c>
      <x:c r="L458" s="47" t="str">
        <x:v>https://fdc.nal.usda.gov/ ; https://www.fda.gov.tw/tc/siteList.aspx?sid=284 ; https://consumer.fda.gov.tw/Food/TFND.aspx?nodeID=178</x:v>
      </x:c>
    </x:row>
    <x:row r="459">
      <x:c r="A459" s="47" t="str">
        <x:v>FR059</x:v>
      </x:c>
      <x:c r="B459" s="47" t="str">
        <x:v>水果</x:v>
      </x:c>
      <x:c r="C459" s="47" t="str">
        <x:v>柿子</x:v>
      </x:c>
      <x:c r="D459" s="47" t="str">
        <x:v>生/可食部</x:v>
      </x:c>
      <x:c r="E459" s="48" t="n">
        <x:v>70</x:v>
      </x:c>
      <x:c r="F459" s="48" t="n">
        <x:v>0.6</x:v>
      </x:c>
      <x:c r="G459" s="48" t="n">
        <x:v>0.2</x:v>
      </x:c>
      <x:c r="H459" s="48" t="n">
        <x:v>18.6</x:v>
      </x:c>
      <x:c r="I459" s="49" t="n">
        <x:v>1</x:v>
      </x:c>
      <x:c r="J459" s="47" t="str">
        <x:v>USDA FDC / Taiwan FDA / estimate</x:v>
      </x:c>
      <x:c r="K459" s="47"/>
      <x:c r="L459" s="47" t="str">
        <x:v>https://fdc.nal.usda.gov/ ; https://www.fda.gov.tw/tc/siteList.aspx?sid=284 ; https://consumer.fda.gov.tw/Food/TFND.aspx?nodeID=178</x:v>
      </x:c>
    </x:row>
    <x:row r="460">
      <x:c r="A460" s="47" t="str">
        <x:v>FR060</x:v>
      </x:c>
      <x:c r="B460" s="47" t="str">
        <x:v>水果</x:v>
      </x:c>
      <x:c r="C460" s="47" t="str">
        <x:v>棗子</x:v>
      </x:c>
      <x:c r="D460" s="47" t="str">
        <x:v>生/可食部</x:v>
      </x:c>
      <x:c r="E460" s="48" t="n">
        <x:v>79</x:v>
      </x:c>
      <x:c r="F460" s="48" t="n">
        <x:v>1.2</x:v>
      </x:c>
      <x:c r="G460" s="48" t="n">
        <x:v>0.2</x:v>
      </x:c>
      <x:c r="H460" s="48" t="n">
        <x:v>20.2</x:v>
      </x:c>
      <x:c r="I460" s="49" t="n">
        <x:v>3</x:v>
      </x:c>
      <x:c r="J460" s="47" t="str">
        <x:v>USDA FDC / Taiwan FDA / estimate</x:v>
      </x:c>
      <x:c r="K460" s="47"/>
      <x:c r="L460" s="47" t="str">
        <x:v>https://fdc.nal.usda.gov/ ; https://www.fda.gov.tw/tc/siteList.aspx?sid=284 ; https://consumer.fda.gov.tw/Food/TFND.aspx?nodeID=178</x:v>
      </x:c>
    </x:row>
    <x:row r="461">
      <x:c r="A461" s="47" t="str">
        <x:v>FR061</x:v>
      </x:c>
      <x:c r="B461" s="47" t="str">
        <x:v>水果</x:v>
      </x:c>
      <x:c r="C461" s="47" t="str">
        <x:v>紅棗（乾）</x:v>
      </x:c>
      <x:c r="D461" s="47" t="str">
        <x:v>乾/可食部</x:v>
      </x:c>
      <x:c r="E461" s="48" t="n">
        <x:v>287</x:v>
      </x:c>
      <x:c r="F461" s="48" t="n">
        <x:v>3.7</x:v>
      </x:c>
      <x:c r="G461" s="48" t="n">
        <x:v>1.1</x:v>
      </x:c>
      <x:c r="H461" s="48" t="n">
        <x:v>74</x:v>
      </x:c>
      <x:c r="I461" s="49" t="n">
        <x:v>9</x:v>
      </x:c>
      <x:c r="J461" s="47" t="str">
        <x:v>USDA FDC / Taiwan FDA / estimate</x:v>
      </x:c>
      <x:c r="K461" s="47" t="str">
        <x:v>乾重，高糖</x:v>
      </x:c>
      <x:c r="L461" s="47" t="str">
        <x:v>https://fdc.nal.usda.gov/ ; https://www.fda.gov.tw/tc/siteList.aspx?sid=284 ; https://consumer.fda.gov.tw/Food/TFND.aspx?nodeID=178</x:v>
      </x:c>
    </x:row>
    <x:row r="462">
      <x:c r="A462" s="47" t="str">
        <x:v>FR062</x:v>
      </x:c>
      <x:c r="B462" s="47" t="str">
        <x:v>水果</x:v>
      </x:c>
      <x:c r="C462" s="47" t="str">
        <x:v>黑棗（乾）</x:v>
      </x:c>
      <x:c r="D462" s="47" t="str">
        <x:v>乾/可食部</x:v>
      </x:c>
      <x:c r="E462" s="48" t="n">
        <x:v>240</x:v>
      </x:c>
      <x:c r="F462" s="48" t="n">
        <x:v>2.2</x:v>
      </x:c>
      <x:c r="G462" s="48" t="n">
        <x:v>0.4</x:v>
      </x:c>
      <x:c r="H462" s="48" t="n">
        <x:v>63.9</x:v>
      </x:c>
      <x:c r="I462" s="49" t="n">
        <x:v>10</x:v>
      </x:c>
      <x:c r="J462" s="47" t="str">
        <x:v>USDA FDC / Taiwan FDA / estimate</x:v>
      </x:c>
      <x:c r="K462" s="47" t="str">
        <x:v>乾重，高糖</x:v>
      </x:c>
      <x:c r="L462" s="47" t="str">
        <x:v>https://fdc.nal.usda.gov/ ; https://www.fda.gov.tw/tc/siteList.aspx?sid=284 ; https://consumer.fda.gov.tw/Food/TFND.aspx?nodeID=178</x:v>
      </x:c>
    </x:row>
    <x:row r="463">
      <x:c r="A463" s="47" t="str">
        <x:v>FR063</x:v>
      </x:c>
      <x:c r="B463" s="47" t="str">
        <x:v>水果</x:v>
      </x:c>
      <x:c r="C463" s="47" t="str">
        <x:v>無花果（新鮮）</x:v>
      </x:c>
      <x:c r="D463" s="47" t="str">
        <x:v>生/可食部</x:v>
      </x:c>
      <x:c r="E463" s="48" t="n">
        <x:v>74</x:v>
      </x:c>
      <x:c r="F463" s="48" t="n">
        <x:v>0.8</x:v>
      </x:c>
      <x:c r="G463" s="48" t="n">
        <x:v>0.3</x:v>
      </x:c>
      <x:c r="H463" s="48" t="n">
        <x:v>19.2</x:v>
      </x:c>
      <x:c r="I463" s="49" t="n">
        <x:v>1</x:v>
      </x:c>
      <x:c r="J463" s="47" t="str">
        <x:v>USDA FDC / Taiwan FDA / estimate</x:v>
      </x:c>
      <x:c r="K463" s="47"/>
      <x:c r="L463" s="47" t="str">
        <x:v>https://fdc.nal.usda.gov/ ; https://www.fda.gov.tw/tc/siteList.aspx?sid=284 ; https://consumer.fda.gov.tw/Food/TFND.aspx?nodeID=178</x:v>
      </x:c>
    </x:row>
    <x:row r="464">
      <x:c r="A464" s="47" t="str">
        <x:v>FR064</x:v>
      </x:c>
      <x:c r="B464" s="47" t="str">
        <x:v>水果</x:v>
      </x:c>
      <x:c r="C464" s="47" t="str">
        <x:v>無花果（乾）</x:v>
      </x:c>
      <x:c r="D464" s="47" t="str">
        <x:v>乾/可食部</x:v>
      </x:c>
      <x:c r="E464" s="48" t="n">
        <x:v>249</x:v>
      </x:c>
      <x:c r="F464" s="48" t="n">
        <x:v>3.3</x:v>
      </x:c>
      <x:c r="G464" s="48" t="n">
        <x:v>0.9</x:v>
      </x:c>
      <x:c r="H464" s="48" t="n">
        <x:v>63.9</x:v>
      </x:c>
      <x:c r="I464" s="49" t="n">
        <x:v>10</x:v>
      </x:c>
      <x:c r="J464" s="47" t="str">
        <x:v>USDA FDC / Taiwan FDA / estimate</x:v>
      </x:c>
      <x:c r="K464" s="47" t="str">
        <x:v>乾重，高糖</x:v>
      </x:c>
      <x:c r="L464" s="47" t="str">
        <x:v>https://fdc.nal.usda.gov/ ; https://www.fda.gov.tw/tc/siteList.aspx?sid=284 ; https://consumer.fda.gov.tw/Food/TFND.aspx?nodeID=178</x:v>
      </x:c>
    </x:row>
    <x:row r="465">
      <x:c r="A465" s="47" t="str">
        <x:v>FR065</x:v>
      </x:c>
      <x:c r="B465" s="47" t="str">
        <x:v>水果</x:v>
      </x:c>
      <x:c r="C465" s="47" t="str">
        <x:v>葡萄乾</x:v>
      </x:c>
      <x:c r="D465" s="47" t="str">
        <x:v>乾/可食部</x:v>
      </x:c>
      <x:c r="E465" s="48" t="n">
        <x:v>299</x:v>
      </x:c>
      <x:c r="F465" s="48" t="n">
        <x:v>3.1</x:v>
      </x:c>
      <x:c r="G465" s="48" t="n">
        <x:v>0.5</x:v>
      </x:c>
      <x:c r="H465" s="48" t="n">
        <x:v>79.2</x:v>
      </x:c>
      <x:c r="I465" s="49" t="n">
        <x:v>11</x:v>
      </x:c>
      <x:c r="J465" s="47" t="str">
        <x:v>USDA FDC / Taiwan FDA / estimate</x:v>
      </x:c>
      <x:c r="K465" s="47" t="str">
        <x:v>乾重，高糖</x:v>
      </x:c>
      <x:c r="L465" s="47" t="str">
        <x:v>https://fdc.nal.usda.gov/ ; https://www.fda.gov.tw/tc/siteList.aspx?sid=284 ; https://consumer.fda.gov.tw/Food/TFND.aspx?nodeID=178</x:v>
      </x:c>
    </x:row>
    <x:row r="466">
      <x:c r="A466" s="47" t="str">
        <x:v>FR066</x:v>
      </x:c>
      <x:c r="B466" s="47" t="str">
        <x:v>水果</x:v>
      </x:c>
      <x:c r="C466" s="47" t="str">
        <x:v>棗椰/椰棗</x:v>
      </x:c>
      <x:c r="D466" s="47" t="str">
        <x:v>乾/可食部</x:v>
      </x:c>
      <x:c r="E466" s="48" t="n">
        <x:v>282</x:v>
      </x:c>
      <x:c r="F466" s="48" t="n">
        <x:v>2.5</x:v>
      </x:c>
      <x:c r="G466" s="48" t="n">
        <x:v>0.4</x:v>
      </x:c>
      <x:c r="H466" s="48" t="n">
        <x:v>75</x:v>
      </x:c>
      <x:c r="I466" s="49" t="n">
        <x:v>2</x:v>
      </x:c>
      <x:c r="J466" s="47" t="str">
        <x:v>USDA FDC / Taiwan FDA / estimate</x:v>
      </x:c>
      <x:c r="K466" s="47" t="str">
        <x:v>乾重，高糖</x:v>
      </x:c>
      <x:c r="L466" s="47" t="str">
        <x:v>https://fdc.nal.usda.gov/ ; https://www.fda.gov.tw/tc/siteList.aspx?sid=284 ; https://consumer.fda.gov.tw/Food/TFND.aspx?nodeID=178</x:v>
      </x:c>
    </x:row>
    <x:row r="467">
      <x:c r="A467" s="47" t="str">
        <x:v>FR067</x:v>
      </x:c>
      <x:c r="B467" s="47" t="str">
        <x:v>水果</x:v>
      </x:c>
      <x:c r="C467" s="47" t="str">
        <x:v>梅子（新鮮）</x:v>
      </x:c>
      <x:c r="D467" s="47" t="str">
        <x:v>生/可食部</x:v>
      </x:c>
      <x:c r="E467" s="48" t="n">
        <x:v>46</x:v>
      </x:c>
      <x:c r="F467" s="48" t="n">
        <x:v>0.7</x:v>
      </x:c>
      <x:c r="G467" s="48" t="n">
        <x:v>0.3</x:v>
      </x:c>
      <x:c r="H467" s="48" t="n">
        <x:v>11.4</x:v>
      </x:c>
      <x:c r="I467" s="49" t="n">
        <x:v>0</x:v>
      </x:c>
      <x:c r="J467" s="47" t="str">
        <x:v>USDA FDC / Taiwan FDA / estimate</x:v>
      </x:c>
      <x:c r="K467" s="47"/>
      <x:c r="L467" s="47" t="str">
        <x:v>https://fdc.nal.usda.gov/ ; https://www.fda.gov.tw/tc/siteList.aspx?sid=284 ; https://consumer.fda.gov.tw/Food/TFND.aspx?nodeID=178</x:v>
      </x:c>
    </x:row>
    <x:row r="468">
      <x:c r="A468" s="47" t="str">
        <x:v>FR068</x:v>
      </x:c>
      <x:c r="B468" s="47" t="str">
        <x:v>水果</x:v>
      </x:c>
      <x:c r="C468" s="47" t="str">
        <x:v>西瓜（去皮）</x:v>
      </x:c>
      <x:c r="D468" s="47" t="str">
        <x:v>生/可食部</x:v>
      </x:c>
      <x:c r="E468" s="48" t="n">
        <x:v>30</x:v>
      </x:c>
      <x:c r="F468" s="48" t="n">
        <x:v>0.6</x:v>
      </x:c>
      <x:c r="G468" s="48" t="n">
        <x:v>0.2</x:v>
      </x:c>
      <x:c r="H468" s="48" t="n">
        <x:v>7.6</x:v>
      </x:c>
      <x:c r="I468" s="49" t="n">
        <x:v>1</x:v>
      </x:c>
      <x:c r="J468" s="47" t="str">
        <x:v>USDA FDC / Taiwan FDA / estimate</x:v>
      </x:c>
      <x:c r="K468" s="47"/>
      <x:c r="L468" s="47" t="str">
        <x:v>https://fdc.nal.usda.gov/ ; https://www.fda.gov.tw/tc/siteList.aspx?sid=284 ; https://consumer.fda.gov.tw/Food/TFND.aspx?nodeID=178</x:v>
      </x:c>
    </x:row>
    <x:row r="469">
      <x:c r="A469" s="47" t="str">
        <x:v>FR069</x:v>
      </x:c>
      <x:c r="B469" s="47" t="str">
        <x:v>水果</x:v>
      </x:c>
      <x:c r="C469" s="47" t="str">
        <x:v>柳丁</x:v>
      </x:c>
      <x:c r="D469" s="47" t="str">
        <x:v>生/可食部</x:v>
      </x:c>
      <x:c r="E469" s="48" t="n">
        <x:v>47</x:v>
      </x:c>
      <x:c r="F469" s="48" t="n">
        <x:v>0.9</x:v>
      </x:c>
      <x:c r="G469" s="48" t="n">
        <x:v>0.1</x:v>
      </x:c>
      <x:c r="H469" s="48" t="n">
        <x:v>11.8</x:v>
      </x:c>
      <x:c r="I469" s="49" t="n">
        <x:v>0</x:v>
      </x:c>
      <x:c r="J469" s="47" t="str">
        <x:v>USDA FDC / Taiwan FDA / estimate</x:v>
      </x:c>
      <x:c r="K469" s="47"/>
      <x:c r="L469" s="47" t="str">
        <x:v>https://fdc.nal.usda.gov/ ; https://www.fda.gov.tw/tc/siteList.aspx?sid=284 ; https://consumer.fda.gov.tw/Food/TFND.aspx?nodeID=178</x:v>
      </x:c>
    </x:row>
    <x:row r="470">
      <x:c r="A470" s="47" t="str">
        <x:v>FR070</x:v>
      </x:c>
      <x:c r="B470" s="47" t="str">
        <x:v>水果</x:v>
      </x:c>
      <x:c r="C470" s="47" t="str">
        <x:v>藍莓（冷凍）</x:v>
      </x:c>
      <x:c r="D470" s="47" t="str">
        <x:v>冷凍/可食部</x:v>
      </x:c>
      <x:c r="E470" s="48" t="n">
        <x:v>57</x:v>
      </x:c>
      <x:c r="F470" s="48" t="n">
        <x:v>0.7</x:v>
      </x:c>
      <x:c r="G470" s="48" t="n">
        <x:v>0.3</x:v>
      </x:c>
      <x:c r="H470" s="48" t="n">
        <x:v>14.5</x:v>
      </x:c>
      <x:c r="I470" s="49" t="n">
        <x:v>1</x:v>
      </x:c>
      <x:c r="J470" s="47" t="str">
        <x:v>USDA FDC / Taiwan FDA / estimate</x:v>
      </x:c>
      <x:c r="K470" s="47"/>
      <x:c r="L470" s="47" t="str">
        <x:v>https://fdc.nal.usda.gov/ ; https://www.fda.gov.tw/tc/siteList.aspx?sid=284 ; https://consumer.fda.gov.tw/Food/TFND.aspx?nodeID=178</x:v>
      </x:c>
    </x:row>
    <x:row r="471">
      <x:c r="A471" s="47" t="str">
        <x:v>FR071</x:v>
      </x:c>
      <x:c r="B471" s="47" t="str">
        <x:v>水果</x:v>
      </x:c>
      <x:c r="C471" s="47" t="str">
        <x:v>草莓（冷凍）</x:v>
      </x:c>
      <x:c r="D471" s="47" t="str">
        <x:v>冷凍/可食部</x:v>
      </x:c>
      <x:c r="E471" s="48" t="n">
        <x:v>35</x:v>
      </x:c>
      <x:c r="F471" s="48" t="n">
        <x:v>0.7</x:v>
      </x:c>
      <x:c r="G471" s="48" t="n">
        <x:v>0.3</x:v>
      </x:c>
      <x:c r="H471" s="48" t="n">
        <x:v>8</x:v>
      </x:c>
      <x:c r="I471" s="49" t="n">
        <x:v>1</x:v>
      </x:c>
      <x:c r="J471" s="47" t="str">
        <x:v>USDA FDC / Taiwan FDA / estimate</x:v>
      </x:c>
      <x:c r="K471" s="47"/>
      <x:c r="L471" s="47" t="str">
        <x:v>https://fdc.nal.usda.gov/ ; https://www.fda.gov.tw/tc/siteList.aspx?sid=284 ; https://consumer.fda.gov.tw/Food/TFND.aspx?nodeID=178</x:v>
      </x:c>
    </x:row>
    <x:row r="472">
      <x:c r="A472" s="47" t="str">
        <x:v>FR072</x:v>
      </x:c>
      <x:c r="B472" s="47" t="str">
        <x:v>水果</x:v>
      </x:c>
      <x:c r="C472" s="47" t="str">
        <x:v>酪梨（去皮去籽）</x:v>
      </x:c>
      <x:c r="D472" s="47" t="str">
        <x:v>生/可食部</x:v>
      </x:c>
      <x:c r="E472" s="48" t="n">
        <x:v>160</x:v>
      </x:c>
      <x:c r="F472" s="48" t="n">
        <x:v>2</x:v>
      </x:c>
      <x:c r="G472" s="48" t="n">
        <x:v>14.7</x:v>
      </x:c>
      <x:c r="H472" s="48" t="n">
        <x:v>8.5</x:v>
      </x:c>
      <x:c r="I472" s="49" t="n">
        <x:v>7</x:v>
      </x:c>
      <x:c r="J472" s="47" t="str">
        <x:v>USDA FDC / Taiwan FDA / estimate</x:v>
      </x:c>
      <x:c r="K472" s="47"/>
      <x:c r="L472" s="47" t="str">
        <x:v>https://fdc.nal.usda.gov/ ; https://www.fda.gov.tw/tc/siteList.aspx?sid=284 ; https://consumer.fda.gov.tw/Food/TFND.aspx?nodeID=178</x:v>
      </x:c>
    </x:row>
    <x:row r="473">
      <x:c r="A473" s="47" t="str">
        <x:v>FR073</x:v>
      </x:c>
      <x:c r="B473" s="47" t="str">
        <x:v>水果</x:v>
      </x:c>
      <x:c r="C473" s="47" t="str">
        <x:v>橄欖（新鮮）</x:v>
      </x:c>
      <x:c r="D473" s="47" t="str">
        <x:v>生/可食部</x:v>
      </x:c>
      <x:c r="E473" s="48" t="n">
        <x:v>115</x:v>
      </x:c>
      <x:c r="F473" s="48" t="n">
        <x:v>0.8</x:v>
      </x:c>
      <x:c r="G473" s="48" t="n">
        <x:v>10.7</x:v>
      </x:c>
      <x:c r="H473" s="48" t="n">
        <x:v>6.3</x:v>
      </x:c>
      <x:c r="I473" s="49" t="n">
        <x:v>735</x:v>
      </x:c>
      <x:c r="J473" s="47" t="str">
        <x:v>USDA FDC / Taiwan FDA / estimate</x:v>
      </x:c>
      <x:c r="K473" s="47" t="str">
        <x:v>醃漬橄欖鈉更高</x:v>
      </x:c>
      <x:c r="L473" s="47" t="str">
        <x:v>https://fdc.nal.usda.gov/ ; https://www.fda.gov.tw/tc/siteList.aspx?sid=284 ; https://consumer.fda.gov.tw/Food/TFND.aspx?nodeID=178</x:v>
      </x:c>
    </x:row>
    <x:row r="474">
      <x:c r="A474" s="47" t="str">
        <x:v>FR074</x:v>
      </x:c>
      <x:c r="B474" s="47" t="str">
        <x:v>水果</x:v>
      </x:c>
      <x:c r="C474" s="47" t="str">
        <x:v>洛神花（新鮮）</x:v>
      </x:c>
      <x:c r="D474" s="47" t="str">
        <x:v>生/可食部</x:v>
      </x:c>
      <x:c r="E474" s="48" t="n">
        <x:v>49</x:v>
      </x:c>
      <x:c r="F474" s="48" t="n">
        <x:v>1</x:v>
      </x:c>
      <x:c r="G474" s="48" t="n">
        <x:v>0.3</x:v>
      </x:c>
      <x:c r="H474" s="48" t="n">
        <x:v>11.3</x:v>
      </x:c>
      <x:c r="I474" s="49" t="n">
        <x:v>7</x:v>
      </x:c>
      <x:c r="J474" s="47" t="str">
        <x:v>USDA FDC / Taiwan FDA / estimate</x:v>
      </x:c>
      <x:c r="K474" s="47" t="str">
        <x:v>通常加工成飲品/蜜餞</x:v>
      </x:c>
      <x:c r="L474" s="47" t="str">
        <x:v>https://fdc.nal.usda.gov/ ; https://www.fda.gov.tw/tc/siteList.aspx?sid=284 ; https://consumer.fda.gov.tw/Food/TFND.aspx?nodeID=178</x:v>
      </x:c>
    </x:row>
    <x:row r="475">
      <x:c r="A475" s="47" t="str">
        <x:v>FR075</x:v>
      </x:c>
      <x:c r="B475" s="47" t="str">
        <x:v>水果</x:v>
      </x:c>
      <x:c r="C475" s="47" t="str">
        <x:v>楊桃</x:v>
      </x:c>
      <x:c r="D475" s="47" t="str">
        <x:v>生/可食部</x:v>
      </x:c>
      <x:c r="E475" s="48" t="n">
        <x:v>31</x:v>
      </x:c>
      <x:c r="F475" s="48" t="n">
        <x:v>1</x:v>
      </x:c>
      <x:c r="G475" s="48" t="n">
        <x:v>0.3</x:v>
      </x:c>
      <x:c r="H475" s="48" t="n">
        <x:v>6.7</x:v>
      </x:c>
      <x:c r="I475" s="49" t="n">
        <x:v>2</x:v>
      </x:c>
      <x:c r="J475" s="47" t="str">
        <x:v>USDA FDC / Taiwan FDA / estimate</x:v>
      </x:c>
      <x:c r="K475" s="47"/>
      <x:c r="L475" s="47" t="str">
        <x:v>https://fdc.nal.usda.gov/ ; https://www.fda.gov.tw/tc/siteList.aspx?sid=284 ; https://consumer.fda.gov.tw/Food/TFND.aspx?nodeID=178</x:v>
      </x:c>
    </x:row>
    <x:row r="476">
      <x:c r="A476" s="47" t="str">
        <x:v>FR076</x:v>
      </x:c>
      <x:c r="B476" s="47" t="str">
        <x:v>水果</x:v>
      </x:c>
      <x:c r="C476" s="47" t="str">
        <x:v>蓮霧</x:v>
      </x:c>
      <x:c r="D476" s="47" t="str">
        <x:v>生/可食部</x:v>
      </x:c>
      <x:c r="E476" s="48" t="n">
        <x:v>25</x:v>
      </x:c>
      <x:c r="F476" s="48" t="n">
        <x:v>0.6</x:v>
      </x:c>
      <x:c r="G476" s="48" t="n">
        <x:v>0.3</x:v>
      </x:c>
      <x:c r="H476" s="48" t="n">
        <x:v>5.7</x:v>
      </x:c>
      <x:c r="I476" s="49" t="n">
        <x:v>1</x:v>
      </x:c>
      <x:c r="J476" s="47" t="str">
        <x:v>USDA FDC / Taiwan FDA / estimate</x:v>
      </x:c>
      <x:c r="K476" s="47"/>
      <x:c r="L476" s="47" t="str">
        <x:v>https://fdc.nal.usda.gov/ ; https://www.fda.gov.tw/tc/siteList.aspx?sid=284 ; https://consumer.fda.gov.tw/Food/TFND.aspx?nodeID=178</x:v>
      </x:c>
    </x:row>
    <x:row r="477">
      <x:c r="A477" s="47" t="str">
        <x:v>NS008</x:v>
      </x:c>
      <x:c r="B477" s="47" t="str">
        <x:v>堅果/種子</x:v>
      </x:c>
      <x:c r="C477" s="47" t="str">
        <x:v>開心果（無調味）</x:v>
      </x:c>
      <x:c r="D477" s="47" t="str">
        <x:v>乾/可食部</x:v>
      </x:c>
      <x:c r="E477" s="48" t="n">
        <x:v>560</x:v>
      </x:c>
      <x:c r="F477" s="48" t="n">
        <x:v>20</x:v>
      </x:c>
      <x:c r="G477" s="48" t="n">
        <x:v>45</x:v>
      </x:c>
      <x:c r="H477" s="48" t="n">
        <x:v>28</x:v>
      </x:c>
      <x:c r="I477" s="49" t="n">
        <x:v>1</x:v>
      </x:c>
      <x:c r="J477" s="47" t="str">
        <x:v>USDA FDC / Taiwan FDA / estimate</x:v>
      </x:c>
      <x:c r="K477" s="47"/>
      <x:c r="L477" s="47" t="str">
        <x:v>https://fdc.nal.usda.gov/ ; https://www.fda.gov.tw/tc/siteList.aspx?sid=284 ; https://consumer.fda.gov.tw/Food/TFND.aspx?nodeID=178</x:v>
      </x:c>
    </x:row>
    <x:row r="478">
      <x:c r="A478" s="47" t="str">
        <x:v>NS009</x:v>
      </x:c>
      <x:c r="B478" s="47" t="str">
        <x:v>堅果/種子</x:v>
      </x:c>
      <x:c r="C478" s="47" t="str">
        <x:v>夏威夷豆（無調味）</x:v>
      </x:c>
      <x:c r="D478" s="47" t="str">
        <x:v>乾/可食部</x:v>
      </x:c>
      <x:c r="E478" s="48" t="n">
        <x:v>718</x:v>
      </x:c>
      <x:c r="F478" s="48" t="n">
        <x:v>7.9</x:v>
      </x:c>
      <x:c r="G478" s="48" t="n">
        <x:v>75.8</x:v>
      </x:c>
      <x:c r="H478" s="48" t="n">
        <x:v>13.8</x:v>
      </x:c>
      <x:c r="I478" s="49" t="n">
        <x:v>5</x:v>
      </x:c>
      <x:c r="J478" s="47" t="str">
        <x:v>USDA FDC / Taiwan FDA / estimate</x:v>
      </x:c>
      <x:c r="K478" s="47"/>
      <x:c r="L478" s="47" t="str">
        <x:v>https://fdc.nal.usda.gov/ ; https://www.fda.gov.tw/tc/siteList.aspx?sid=284 ; https://consumer.fda.gov.tw/Food/TFND.aspx?nodeID=178</x:v>
      </x:c>
    </x:row>
    <x:row r="479">
      <x:c r="A479" s="47" t="str">
        <x:v>NS010</x:v>
      </x:c>
      <x:c r="B479" s="47" t="str">
        <x:v>堅果/種子</x:v>
      </x:c>
      <x:c r="C479" s="47" t="str">
        <x:v>榛果（無調味）</x:v>
      </x:c>
      <x:c r="D479" s="47" t="str">
        <x:v>乾/可食部</x:v>
      </x:c>
      <x:c r="E479" s="48" t="n">
        <x:v>628</x:v>
      </x:c>
      <x:c r="F479" s="48" t="n">
        <x:v>15</x:v>
      </x:c>
      <x:c r="G479" s="48" t="n">
        <x:v>60.8</x:v>
      </x:c>
      <x:c r="H479" s="48" t="n">
        <x:v>16.7</x:v>
      </x:c>
      <x:c r="I479" s="49" t="n">
        <x:v>0</x:v>
      </x:c>
      <x:c r="J479" s="47" t="str">
        <x:v>USDA FDC / Taiwan FDA / estimate</x:v>
      </x:c>
      <x:c r="K479" s="47"/>
      <x:c r="L479" s="47" t="str">
        <x:v>https://fdc.nal.usda.gov/ ; https://www.fda.gov.tw/tc/siteList.aspx?sid=284 ; https://consumer.fda.gov.tw/Food/TFND.aspx?nodeID=178</x:v>
      </x:c>
    </x:row>
    <x:row r="480">
      <x:c r="A480" s="47" t="str">
        <x:v>NS011</x:v>
      </x:c>
      <x:c r="B480" s="47" t="str">
        <x:v>堅果/種子</x:v>
      </x:c>
      <x:c r="C480" s="47" t="str">
        <x:v>松子</x:v>
      </x:c>
      <x:c r="D480" s="47" t="str">
        <x:v>乾/可食部</x:v>
      </x:c>
      <x:c r="E480" s="48" t="n">
        <x:v>673</x:v>
      </x:c>
      <x:c r="F480" s="48" t="n">
        <x:v>13.7</x:v>
      </x:c>
      <x:c r="G480" s="48" t="n">
        <x:v>68.4</x:v>
      </x:c>
      <x:c r="H480" s="48" t="n">
        <x:v>13.1</x:v>
      </x:c>
      <x:c r="I480" s="49" t="n">
        <x:v>2</x:v>
      </x:c>
      <x:c r="J480" s="47" t="str">
        <x:v>USDA FDC / Taiwan FDA / estimate</x:v>
      </x:c>
      <x:c r="K480" s="47"/>
      <x:c r="L480" s="47" t="str">
        <x:v>https://fdc.nal.usda.gov/ ; https://www.fda.gov.tw/tc/siteList.aspx?sid=284 ; https://consumer.fda.gov.tw/Food/TFND.aspx?nodeID=178</x:v>
      </x:c>
    </x:row>
    <x:row r="481">
      <x:c r="A481" s="47" t="str">
        <x:v>NS012</x:v>
      </x:c>
      <x:c r="B481" s="47" t="str">
        <x:v>堅果/種子</x:v>
      </x:c>
      <x:c r="C481" s="47" t="str">
        <x:v>南瓜子</x:v>
      </x:c>
      <x:c r="D481" s="47" t="str">
        <x:v>乾/可食部</x:v>
      </x:c>
      <x:c r="E481" s="48" t="n">
        <x:v>559</x:v>
      </x:c>
      <x:c r="F481" s="48" t="n">
        <x:v>30.2</x:v>
      </x:c>
      <x:c r="G481" s="48" t="n">
        <x:v>49</x:v>
      </x:c>
      <x:c r="H481" s="48" t="n">
        <x:v>10.7</x:v>
      </x:c>
      <x:c r="I481" s="49" t="n">
        <x:v>7</x:v>
      </x:c>
      <x:c r="J481" s="47" t="str">
        <x:v>USDA FDC / Taiwan FDA / estimate</x:v>
      </x:c>
      <x:c r="K481" s="47"/>
      <x:c r="L481" s="47" t="str">
        <x:v>https://fdc.nal.usda.gov/ ; https://www.fda.gov.tw/tc/siteList.aspx?sid=284 ; https://consumer.fda.gov.tw/Food/TFND.aspx?nodeID=178</x:v>
      </x:c>
    </x:row>
    <x:row r="482">
      <x:c r="A482" s="47" t="str">
        <x:v>NS013</x:v>
      </x:c>
      <x:c r="B482" s="47" t="str">
        <x:v>堅果/種子</x:v>
      </x:c>
      <x:c r="C482" s="47" t="str">
        <x:v>葵花子</x:v>
      </x:c>
      <x:c r="D482" s="47" t="str">
        <x:v>乾/可食部</x:v>
      </x:c>
      <x:c r="E482" s="48" t="n">
        <x:v>584</x:v>
      </x:c>
      <x:c r="F482" s="48" t="n">
        <x:v>20.8</x:v>
      </x:c>
      <x:c r="G482" s="48" t="n">
        <x:v>51.5</x:v>
      </x:c>
      <x:c r="H482" s="48" t="n">
        <x:v>20</x:v>
      </x:c>
      <x:c r="I482" s="49" t="n">
        <x:v>9</x:v>
      </x:c>
      <x:c r="J482" s="47" t="str">
        <x:v>USDA FDC / Taiwan FDA / estimate</x:v>
      </x:c>
      <x:c r="K482" s="47"/>
      <x:c r="L482" s="47" t="str">
        <x:v>https://fdc.nal.usda.gov/ ; https://www.fda.gov.tw/tc/siteList.aspx?sid=284 ; https://consumer.fda.gov.tw/Food/TFND.aspx?nodeID=178</x:v>
      </x:c>
    </x:row>
    <x:row r="483">
      <x:c r="A483" s="47" t="str">
        <x:v>NS014</x:v>
      </x:c>
      <x:c r="B483" s="47" t="str">
        <x:v>堅果/種子</x:v>
      </x:c>
      <x:c r="C483" s="47" t="str">
        <x:v>黑芝麻</x:v>
      </x:c>
      <x:c r="D483" s="47" t="str">
        <x:v>乾/可食部</x:v>
      </x:c>
      <x:c r="E483" s="48" t="n">
        <x:v>573</x:v>
      </x:c>
      <x:c r="F483" s="48" t="n">
        <x:v>17.7</x:v>
      </x:c>
      <x:c r="G483" s="48" t="n">
        <x:v>49.7</x:v>
      </x:c>
      <x:c r="H483" s="48" t="n">
        <x:v>23.4</x:v>
      </x:c>
      <x:c r="I483" s="49" t="n">
        <x:v>11</x:v>
      </x:c>
      <x:c r="J483" s="47" t="str">
        <x:v>USDA FDC / Taiwan FDA / estimate</x:v>
      </x:c>
      <x:c r="K483" s="47"/>
      <x:c r="L483" s="47" t="str">
        <x:v>https://fdc.nal.usda.gov/ ; https://www.fda.gov.tw/tc/siteList.aspx?sid=284 ; https://consumer.fda.gov.tw/Food/TFND.aspx?nodeID=178</x:v>
      </x:c>
    </x:row>
    <x:row r="484">
      <x:c r="A484" s="47" t="str">
        <x:v>NS015</x:v>
      </x:c>
      <x:c r="B484" s="47" t="str">
        <x:v>堅果/種子</x:v>
      </x:c>
      <x:c r="C484" s="47" t="str">
        <x:v>白芝麻</x:v>
      </x:c>
      <x:c r="D484" s="47" t="str">
        <x:v>乾/可食部</x:v>
      </x:c>
      <x:c r="E484" s="48" t="n">
        <x:v>573</x:v>
      </x:c>
      <x:c r="F484" s="48" t="n">
        <x:v>17.7</x:v>
      </x:c>
      <x:c r="G484" s="48" t="n">
        <x:v>49.7</x:v>
      </x:c>
      <x:c r="H484" s="48" t="n">
        <x:v>23.4</x:v>
      </x:c>
      <x:c r="I484" s="49" t="n">
        <x:v>11</x:v>
      </x:c>
      <x:c r="J484" s="47" t="str">
        <x:v>USDA FDC / Taiwan FDA / estimate</x:v>
      </x:c>
      <x:c r="K484" s="47"/>
      <x:c r="L484" s="47" t="str">
        <x:v>https://fdc.nal.usda.gov/ ; https://www.fda.gov.tw/tc/siteList.aspx?sid=284 ; https://consumer.fda.gov.tw/Food/TFND.aspx?nodeID=178</x:v>
      </x:c>
    </x:row>
    <x:row r="485">
      <x:c r="A485" s="47" t="str">
        <x:v>NS016</x:v>
      </x:c>
      <x:c r="B485" s="47" t="str">
        <x:v>堅果/種子</x:v>
      </x:c>
      <x:c r="C485" s="47" t="str">
        <x:v>巴西堅果</x:v>
      </x:c>
      <x:c r="D485" s="47" t="str">
        <x:v>乾/可食部</x:v>
      </x:c>
      <x:c r="E485" s="48" t="n">
        <x:v>659</x:v>
      </x:c>
      <x:c r="F485" s="48" t="n">
        <x:v>14.3</x:v>
      </x:c>
      <x:c r="G485" s="48" t="n">
        <x:v>67.1</x:v>
      </x:c>
      <x:c r="H485" s="48" t="n">
        <x:v>11.7</x:v>
      </x:c>
      <x:c r="I485" s="49" t="n">
        <x:v>3</x:v>
      </x:c>
      <x:c r="J485" s="47" t="str">
        <x:v>USDA FDC / Taiwan FDA / estimate</x:v>
      </x:c>
      <x:c r="K485" s="47"/>
      <x:c r="L485" s="47" t="str">
        <x:v>https://fdc.nal.usda.gov/ ; https://www.fda.gov.tw/tc/siteList.aspx?sid=284 ; https://consumer.fda.gov.tw/Food/TFND.aspx?nodeID=178</x:v>
      </x:c>
    </x:row>
    <x:row r="486">
      <x:c r="A486" s="47" t="str">
        <x:v>NS017</x:v>
      </x:c>
      <x:c r="B486" s="47" t="str">
        <x:v>堅果/種子</x:v>
      </x:c>
      <x:c r="C486" s="47" t="str">
        <x:v>胡桃/碧根果</x:v>
      </x:c>
      <x:c r="D486" s="47" t="str">
        <x:v>乾/可食部</x:v>
      </x:c>
      <x:c r="E486" s="48" t="n">
        <x:v>691</x:v>
      </x:c>
      <x:c r="F486" s="48" t="n">
        <x:v>9.2</x:v>
      </x:c>
      <x:c r="G486" s="48" t="n">
        <x:v>72</x:v>
      </x:c>
      <x:c r="H486" s="48" t="n">
        <x:v>13.9</x:v>
      </x:c>
      <x:c r="I486" s="49" t="n">
        <x:v>0</x:v>
      </x:c>
      <x:c r="J486" s="47" t="str">
        <x:v>USDA FDC / Taiwan FDA / estimate</x:v>
      </x:c>
      <x:c r="K486" s="47"/>
      <x:c r="L486" s="47" t="str">
        <x:v>https://fdc.nal.usda.gov/ ; https://www.fda.gov.tw/tc/siteList.aspx?sid=284 ; https://consumer.fda.gov.tw/Food/TFND.aspx?nodeID=178</x:v>
      </x:c>
    </x:row>
    <x:row r="487">
      <x:c r="A487" s="47" t="str">
        <x:v>NS018</x:v>
      </x:c>
      <x:c r="B487" s="47" t="str">
        <x:v>堅果/種子</x:v>
      </x:c>
      <x:c r="C487" s="47" t="str">
        <x:v>花生醬（無糖）</x:v>
      </x:c>
      <x:c r="D487" s="47" t="str">
        <x:v>可食部</x:v>
      </x:c>
      <x:c r="E487" s="48" t="n">
        <x:v>588</x:v>
      </x:c>
      <x:c r="F487" s="48" t="n">
        <x:v>25</x:v>
      </x:c>
      <x:c r="G487" s="48" t="n">
        <x:v>50</x:v>
      </x:c>
      <x:c r="H487" s="48" t="n">
        <x:v>20</x:v>
      </x:c>
      <x:c r="I487" s="49" t="n">
        <x:v>17</x:v>
      </x:c>
      <x:c r="J487" s="47" t="str">
        <x:v>USDA FDC / Taiwan FDA / estimate</x:v>
      </x:c>
      <x:c r="K487" s="47" t="str">
        <x:v>若加糖/鹽需看標示</x:v>
      </x:c>
      <x:c r="L487" s="47" t="str">
        <x:v>https://fdc.nal.usda.gov/ ; https://www.fda.gov.tw/tc/siteList.aspx?sid=284 ; https://consumer.fda.gov.tw/Food/TFND.aspx?nodeID=178</x:v>
      </x:c>
    </x:row>
    <x:row r="488">
      <x:c r="A488" s="47" t="str">
        <x:v>NS019</x:v>
      </x:c>
      <x:c r="B488" s="47" t="str">
        <x:v>堅果/種子</x:v>
      </x:c>
      <x:c r="C488" s="47" t="str">
        <x:v>芝麻醬</x:v>
      </x:c>
      <x:c r="D488" s="47" t="str">
        <x:v>可食部</x:v>
      </x:c>
      <x:c r="E488" s="48" t="n">
        <x:v>595</x:v>
      </x:c>
      <x:c r="F488" s="48" t="n">
        <x:v>17</x:v>
      </x:c>
      <x:c r="G488" s="48" t="n">
        <x:v>53</x:v>
      </x:c>
      <x:c r="H488" s="48" t="n">
        <x:v>21</x:v>
      </x:c>
      <x:c r="I488" s="49" t="n">
        <x:v>115</x:v>
      </x:c>
      <x:c r="J488" s="47" t="str">
        <x:v>USDA FDC / Taiwan FDA / estimate</x:v>
      </x:c>
      <x:c r="K488" s="47" t="str">
        <x:v>品牌差異大</x:v>
      </x:c>
      <x:c r="L488" s="47" t="str">
        <x:v>https://fdc.nal.usda.gov/ ; https://www.fda.gov.tw/tc/siteList.aspx?sid=284 ; https://consumer.fda.gov.tw/Food/TFND.aspx?nodeID=178</x:v>
      </x:c>
    </x:row>
    <x:row r="489">
      <x:c r="A489" s="47" t="str">
        <x:v>NS020</x:v>
      </x:c>
      <x:c r="B489" s="47" t="str">
        <x:v>堅果/種子</x:v>
      </x:c>
      <x:c r="C489" s="47" t="str">
        <x:v>杏仁粉</x:v>
      </x:c>
      <x:c r="D489" s="47" t="str">
        <x:v>乾/可食部</x:v>
      </x:c>
      <x:c r="E489" s="48" t="n">
        <x:v>571</x:v>
      </x:c>
      <x:c r="F489" s="48" t="n">
        <x:v>21</x:v>
      </x:c>
      <x:c r="G489" s="48" t="n">
        <x:v>50</x:v>
      </x:c>
      <x:c r="H489" s="48" t="n">
        <x:v>21</x:v>
      </x:c>
      <x:c r="I489" s="49" t="n">
        <x:v>1</x:v>
      </x:c>
      <x:c r="J489" s="47" t="str">
        <x:v>USDA FDC / Taiwan FDA / estimate</x:v>
      </x:c>
      <x:c r="K489" s="47"/>
      <x:c r="L489" s="47" t="str">
        <x:v>https://fdc.nal.usda.gov/ ; https://www.fda.gov.tw/tc/siteList.aspx?sid=284 ; https://consumer.fda.gov.tw/Food/TFND.aspx?nodeID=178</x:v>
      </x:c>
    </x:row>
    <x:row r="490">
      <x:c r="A490" s="47" t="str">
        <x:v>NS021</x:v>
      </x:c>
      <x:c r="B490" s="47" t="str">
        <x:v>堅果/種子</x:v>
      </x:c>
      <x:c r="C490" s="47" t="str">
        <x:v>椰子粉</x:v>
      </x:c>
      <x:c r="D490" s="47" t="str">
        <x:v>乾/可食部</x:v>
      </x:c>
      <x:c r="E490" s="48" t="n">
        <x:v>660</x:v>
      </x:c>
      <x:c r="F490" s="48" t="n">
        <x:v>6.9</x:v>
      </x:c>
      <x:c r="G490" s="48" t="n">
        <x:v>64.5</x:v>
      </x:c>
      <x:c r="H490" s="48" t="n">
        <x:v>23.7</x:v>
      </x:c>
      <x:c r="I490" s="49" t="n">
        <x:v>37</x:v>
      </x:c>
      <x:c r="J490" s="47" t="str">
        <x:v>USDA FDC / Taiwan FDA / estimate</x:v>
      </x:c>
      <x:c r="K490" s="47"/>
      <x:c r="L490" s="47" t="str">
        <x:v>https://fdc.nal.usda.gov/ ; https://www.fda.gov.tw/tc/siteList.aspx?sid=284 ; https://consumer.fda.gov.tw/Food/TFND.aspx?nodeID=178</x:v>
      </x:c>
    </x:row>
    <x:row r="491">
      <x:c r="A491" s="47" t="str">
        <x:v>NS022</x:v>
      </x:c>
      <x:c r="B491" s="47" t="str">
        <x:v>堅果/種子</x:v>
      </x:c>
      <x:c r="C491" s="47" t="str">
        <x:v>可可粉（無糖）</x:v>
      </x:c>
      <x:c r="D491" s="47" t="str">
        <x:v>乾/可食部</x:v>
      </x:c>
      <x:c r="E491" s="48" t="n">
        <x:v>228</x:v>
      </x:c>
      <x:c r="F491" s="48" t="n">
        <x:v>19.6</x:v>
      </x:c>
      <x:c r="G491" s="48" t="n">
        <x:v>13.7</x:v>
      </x:c>
      <x:c r="H491" s="48" t="n">
        <x:v>57.9</x:v>
      </x:c>
      <x:c r="I491" s="49" t="n">
        <x:v>21</x:v>
      </x:c>
      <x:c r="J491" s="47" t="str">
        <x:v>USDA FDC / Taiwan FDA / estimate</x:v>
      </x:c>
      <x:c r="K491" s="47" t="str">
        <x:v>用量通常小</x:v>
      </x:c>
      <x:c r="L491" s="47" t="str">
        <x:v>https://fdc.nal.usda.gov/ ; https://www.fda.gov.tw/tc/siteList.aspx?sid=284 ; https://consumer.fda.gov.tw/Food/TFND.aspx?nodeID=178</x:v>
      </x:c>
    </x:row>
    <x:row r="492">
      <x:c r="A492" s="47" t="str">
        <x:v>NS023</x:v>
      </x:c>
      <x:c r="B492" s="47" t="str">
        <x:v>堅果/種子</x:v>
      </x:c>
      <x:c r="C492" s="47" t="str">
        <x:v>腰果醬（無糖）</x:v>
      </x:c>
      <x:c r="D492" s="47" t="str">
        <x:v>可食部</x:v>
      </x:c>
      <x:c r="E492" s="48" t="n">
        <x:v>587</x:v>
      </x:c>
      <x:c r="F492" s="48" t="n">
        <x:v>18</x:v>
      </x:c>
      <x:c r="G492" s="48" t="n">
        <x:v>49</x:v>
      </x:c>
      <x:c r="H492" s="48" t="n">
        <x:v>28</x:v>
      </x:c>
      <x:c r="I492" s="49" t="n">
        <x:v>12</x:v>
      </x:c>
      <x:c r="J492" s="47" t="str">
        <x:v>USDA FDC / Taiwan FDA / estimate</x:v>
      </x:c>
      <x:c r="K492" s="47" t="str">
        <x:v>品牌差異大</x:v>
      </x:c>
      <x:c r="L492" s="47" t="str">
        <x:v>https://fdc.nal.usda.gov/ ; https://www.fda.gov.tw/tc/siteList.aspx?sid=284 ; https://consumer.fda.gov.tw/Food/TFND.aspx?nodeID=178</x:v>
      </x:c>
    </x:row>
    <x:row r="493">
      <x:c r="A493" s="47" t="str">
        <x:v>NS024</x:v>
      </x:c>
      <x:c r="B493" s="47" t="str">
        <x:v>堅果/種子</x:v>
      </x:c>
      <x:c r="C493" s="47" t="str">
        <x:v>亞麻仁粉</x:v>
      </x:c>
      <x:c r="D493" s="47" t="str">
        <x:v>乾/可食部</x:v>
      </x:c>
      <x:c r="E493" s="48" t="n">
        <x:v>534</x:v>
      </x:c>
      <x:c r="F493" s="48" t="n">
        <x:v>18.3</x:v>
      </x:c>
      <x:c r="G493" s="48" t="n">
        <x:v>42.2</x:v>
      </x:c>
      <x:c r="H493" s="48" t="n">
        <x:v>28.9</x:v>
      </x:c>
      <x:c r="I493" s="49" t="n">
        <x:v>30</x:v>
      </x:c>
      <x:c r="J493" s="47" t="str">
        <x:v>USDA FDC / Taiwan FDA / estimate</x:v>
      </x:c>
      <x:c r="K493" s="47"/>
      <x:c r="L493" s="47" t="str">
        <x:v>https://fdc.nal.usda.gov/ ; https://www.fda.gov.tw/tc/siteList.aspx?sid=284 ; https://consumer.fda.gov.tw/Food/TFND.aspx?nodeID=178</x:v>
      </x:c>
    </x:row>
    <x:row r="494">
      <x:c r="A494" s="47" t="str">
        <x:v>NS025</x:v>
      </x:c>
      <x:c r="B494" s="47" t="str">
        <x:v>堅果/種子</x:v>
      </x:c>
      <x:c r="C494" s="47" t="str">
        <x:v>奇亞籽（泡發）</x:v>
      </x:c>
      <x:c r="D494" s="47" t="str">
        <x:v>泡發/可食部</x:v>
      </x:c>
      <x:c r="E494" s="48" t="n">
        <x:v>49</x:v>
      </x:c>
      <x:c r="F494" s="48" t="n">
        <x:v>1.6</x:v>
      </x:c>
      <x:c r="G494" s="48" t="n">
        <x:v>3.1</x:v>
      </x:c>
      <x:c r="H494" s="48" t="n">
        <x:v>4.2</x:v>
      </x:c>
      <x:c r="I494" s="49" t="n">
        <x:v>2</x:v>
      </x:c>
      <x:c r="J494" s="47" t="str">
        <x:v>USDA FDC / Taiwan FDA / estimate</x:v>
      </x:c>
      <x:c r="K494" s="47" t="str">
        <x:v>以 1:10 泡水估算</x:v>
      </x:c>
      <x:c r="L494" s="47" t="str">
        <x:v>https://fdc.nal.usda.gov/ ; https://www.fda.gov.tw/tc/siteList.aspx?sid=284 ; https://consumer.fda.gov.tw/Food/TFND.aspx?nodeID=178</x:v>
      </x:c>
    </x:row>
    <x:row r="495">
      <x:c r="A495" s="47" t="str">
        <x:v>NS026</x:v>
      </x:c>
      <x:c r="B495" s="47" t="str">
        <x:v>堅果/種子</x:v>
      </x:c>
      <x:c r="C495" s="47" t="str">
        <x:v>蓮子（乾）</x:v>
      </x:c>
      <x:c r="D495" s="47" t="str">
        <x:v>乾/可食部</x:v>
      </x:c>
      <x:c r="E495" s="48" t="n">
        <x:v>344</x:v>
      </x:c>
      <x:c r="F495" s="48" t="n">
        <x:v>18</x:v>
      </x:c>
      <x:c r="G495" s="48" t="n">
        <x:v>2</x:v>
      </x:c>
      <x:c r="H495" s="48" t="n">
        <x:v>67</x:v>
      </x:c>
      <x:c r="I495" s="49" t="n">
        <x:v>5</x:v>
      </x:c>
      <x:c r="J495" s="47" t="str">
        <x:v>USDA FDC / Taiwan FDA / estimate</x:v>
      </x:c>
      <x:c r="K495" s="47" t="str">
        <x:v>乾重</x:v>
      </x:c>
      <x:c r="L495" s="47" t="str">
        <x:v>https://fdc.nal.usda.gov/ ; https://www.fda.gov.tw/tc/siteList.aspx?sid=284 ; https://consumer.fda.gov.tw/Food/TFND.aspx?nodeID=178</x:v>
      </x:c>
    </x:row>
    <x:row r="496">
      <x:c r="A496" s="47" t="str">
        <x:v>NS027</x:v>
      </x:c>
      <x:c r="B496" s="47" t="str">
        <x:v>堅果/種子</x:v>
      </x:c>
      <x:c r="C496" s="47" t="str">
        <x:v>栗子（乾）</x:v>
      </x:c>
      <x:c r="D496" s="47" t="str">
        <x:v>乾/可食部</x:v>
      </x:c>
      <x:c r="E496" s="48" t="n">
        <x:v>369</x:v>
      </x:c>
      <x:c r="F496" s="48" t="n">
        <x:v>5</x:v>
      </x:c>
      <x:c r="G496" s="48" t="n">
        <x:v>3</x:v>
      </x:c>
      <x:c r="H496" s="48" t="n">
        <x:v>80</x:v>
      </x:c>
      <x:c r="I496" s="49" t="n">
        <x:v>10</x:v>
      </x:c>
      <x:c r="J496" s="47" t="str">
        <x:v>USDA FDC / Taiwan FDA / estimate</x:v>
      </x:c>
      <x:c r="K496" s="47" t="str">
        <x:v>乾重</x:v>
      </x:c>
      <x:c r="L496" s="47" t="str">
        <x:v>https://fdc.nal.usda.gov/ ; https://www.fda.gov.tw/tc/siteList.aspx?sid=284 ; https://consumer.fda.gov.tw/Food/TFND.aspx?nodeID=178</x:v>
      </x:c>
    </x:row>
    <x:row r="497">
      <x:c r="A497" s="47" t="str">
        <x:v>OI004</x:v>
      </x:c>
      <x:c r="B497" s="47" t="str">
        <x:v>油脂</x:v>
      </x:c>
      <x:c r="C497" s="47" t="str">
        <x:v>芝麻油</x:v>
      </x:c>
      <x:c r="D497" s="47" t="str">
        <x:v>可食部</x:v>
      </x:c>
      <x:c r="E497" s="48" t="n">
        <x:v>884</x:v>
      </x:c>
      <x:c r="F497" s="48" t="n">
        <x:v>0</x:v>
      </x:c>
      <x:c r="G497" s="48" t="n">
        <x:v>100</x:v>
      </x:c>
      <x:c r="H497" s="48" t="n">
        <x:v>0</x:v>
      </x:c>
      <x:c r="I497" s="49" t="n">
        <x:v>0</x:v>
      </x:c>
      <x:c r="J497" s="47" t="str">
        <x:v>USDA FDC / Taiwan FDA / estimate</x:v>
      </x:c>
      <x:c r="K497" s="47" t="str">
        <x:v>建議走 Oil_Rules，不要讓用戶直接選</x:v>
      </x:c>
      <x:c r="L497" s="47" t="str">
        <x:v>https://fdc.nal.usda.gov/ ; https://www.fda.gov.tw/tc/siteList.aspx?sid=284 ; https://consumer.fda.gov.tw/Food/TFND.aspx?nodeID=178</x:v>
      </x:c>
    </x:row>
    <x:row r="498">
      <x:c r="A498" s="47" t="str">
        <x:v>OI005</x:v>
      </x:c>
      <x:c r="B498" s="47" t="str">
        <x:v>油脂</x:v>
      </x:c>
      <x:c r="C498" s="47" t="str">
        <x:v>葵花油</x:v>
      </x:c>
      <x:c r="D498" s="47" t="str">
        <x:v>可食部</x:v>
      </x:c>
      <x:c r="E498" s="48" t="n">
        <x:v>884</x:v>
      </x:c>
      <x:c r="F498" s="48" t="n">
        <x:v>0</x:v>
      </x:c>
      <x:c r="G498" s="48" t="n">
        <x:v>100</x:v>
      </x:c>
      <x:c r="H498" s="48" t="n">
        <x:v>0</x:v>
      </x:c>
      <x:c r="I498" s="49" t="n">
        <x:v>0</x:v>
      </x:c>
      <x:c r="J498" s="47" t="str">
        <x:v>USDA FDC / Taiwan FDA / estimate</x:v>
      </x:c>
      <x:c r="K498" s="47" t="str">
        <x:v>建議走 Oil_Rules，不要讓用戶直接選</x:v>
      </x:c>
      <x:c r="L498" s="47" t="str">
        <x:v>https://fdc.nal.usda.gov/ ; https://www.fda.gov.tw/tc/siteList.aspx?sid=284 ; https://consumer.fda.gov.tw/Food/TFND.aspx?nodeID=178</x:v>
      </x:c>
    </x:row>
    <x:row r="499">
      <x:c r="A499" s="47" t="str">
        <x:v>OI006</x:v>
      </x:c>
      <x:c r="B499" s="47" t="str">
        <x:v>油脂</x:v>
      </x:c>
      <x:c r="C499" s="47" t="str">
        <x:v>花生油</x:v>
      </x:c>
      <x:c r="D499" s="47" t="str">
        <x:v>可食部</x:v>
      </x:c>
      <x:c r="E499" s="48" t="n">
        <x:v>884</x:v>
      </x:c>
      <x:c r="F499" s="48" t="n">
        <x:v>0</x:v>
      </x:c>
      <x:c r="G499" s="48" t="n">
        <x:v>100</x:v>
      </x:c>
      <x:c r="H499" s="48" t="n">
        <x:v>0</x:v>
      </x:c>
      <x:c r="I499" s="49" t="n">
        <x:v>0</x:v>
      </x:c>
      <x:c r="J499" s="47" t="str">
        <x:v>USDA FDC / Taiwan FDA / estimate</x:v>
      </x:c>
      <x:c r="K499" s="47" t="str">
        <x:v>建議走 Oil_Rules，不要讓用戶直接選</x:v>
      </x:c>
      <x:c r="L499" s="47" t="str">
        <x:v>https://fdc.nal.usda.gov/ ; https://www.fda.gov.tw/tc/siteList.aspx?sid=284 ; https://consumer.fda.gov.tw/Food/TFND.aspx?nodeID=178</x:v>
      </x:c>
    </x:row>
    <x:row r="500">
      <x:c r="A500" s="47" t="str">
        <x:v>OI007</x:v>
      </x:c>
      <x:c r="B500" s="47" t="str">
        <x:v>油脂</x:v>
      </x:c>
      <x:c r="C500" s="47" t="str">
        <x:v>酪梨油</x:v>
      </x:c>
      <x:c r="D500" s="47" t="str">
        <x:v>可食部</x:v>
      </x:c>
      <x:c r="E500" s="48" t="n">
        <x:v>884</x:v>
      </x:c>
      <x:c r="F500" s="48" t="n">
        <x:v>0</x:v>
      </x:c>
      <x:c r="G500" s="48" t="n">
        <x:v>100</x:v>
      </x:c>
      <x:c r="H500" s="48" t="n">
        <x:v>0</x:v>
      </x:c>
      <x:c r="I500" s="49" t="n">
        <x:v>0</x:v>
      </x:c>
      <x:c r="J500" s="47" t="str">
        <x:v>USDA FDC / Taiwan FDA / estimate</x:v>
      </x:c>
      <x:c r="K500" s="47" t="str">
        <x:v>建議走 Oil_Rules，不要讓用戶直接選</x:v>
      </x:c>
      <x:c r="L500" s="47" t="str">
        <x:v>https://fdc.nal.usda.gov/ ; https://www.fda.gov.tw/tc/siteList.aspx?sid=284 ; https://consumer.fda.gov.tw/Food/TFND.aspx?nodeID=178</x:v>
      </x:c>
    </x:row>
    <x:row r="501">
      <x:c r="A501" s="47" t="str">
        <x:v>OI008</x:v>
      </x:c>
      <x:c r="B501" s="47" t="str">
        <x:v>油脂</x:v>
      </x:c>
      <x:c r="C501" s="47" t="str">
        <x:v>椰子油</x:v>
      </x:c>
      <x:c r="D501" s="47" t="str">
        <x:v>可食部</x:v>
      </x:c>
      <x:c r="E501" s="48" t="n">
        <x:v>862</x:v>
      </x:c>
      <x:c r="F501" s="48" t="n">
        <x:v>0</x:v>
      </x:c>
      <x:c r="G501" s="48" t="n">
        <x:v>100</x:v>
      </x:c>
      <x:c r="H501" s="48" t="n">
        <x:v>0</x:v>
      </x:c>
      <x:c r="I501" s="49" t="n">
        <x:v>0</x:v>
      </x:c>
      <x:c r="J501" s="47" t="str">
        <x:v>USDA FDC / Taiwan FDA / estimate</x:v>
      </x:c>
      <x:c r="K501" s="47" t="str">
        <x:v>建議走 Oil_Rules，不要讓用戶直接選</x:v>
      </x:c>
      <x:c r="L501" s="47" t="str">
        <x:v>https://fdc.nal.usda.gov/ ; https://www.fda.gov.tw/tc/siteList.aspx?sid=284 ; https://consumer.fda.gov.tw/Food/TFND.aspx?nodeID=178</x:v>
      </x:c>
    </x:row>
    <x:row r="502">
      <x:c r="A502" s="47" t="str">
        <x:v>OI009</x:v>
      </x:c>
      <x:c r="B502" s="47" t="str">
        <x:v>油脂</x:v>
      </x:c>
      <x:c r="C502" s="47" t="str">
        <x:v>豬油</x:v>
      </x:c>
      <x:c r="D502" s="47" t="str">
        <x:v>可食部</x:v>
      </x:c>
      <x:c r="E502" s="48" t="n">
        <x:v>902</x:v>
      </x:c>
      <x:c r="F502" s="48" t="n">
        <x:v>0</x:v>
      </x:c>
      <x:c r="G502" s="48" t="n">
        <x:v>100</x:v>
      </x:c>
      <x:c r="H502" s="48" t="n">
        <x:v>0</x:v>
      </x:c>
      <x:c r="I502" s="49" t="n">
        <x:v>0</x:v>
      </x:c>
      <x:c r="J502" s="47" t="str">
        <x:v>USDA FDC / Taiwan FDA / estimate</x:v>
      </x:c>
      <x:c r="K502" s="47" t="str">
        <x:v>建議走 Oil_Rules，不要讓用戶直接選</x:v>
      </x:c>
      <x:c r="L502" s="47" t="str">
        <x:v>https://fdc.nal.usda.gov/ ; https://www.fda.gov.tw/tc/siteList.aspx?sid=284 ; https://consumer.fda.gov.tw/Food/TFND.aspx?nodeID=178</x:v>
      </x:c>
    </x:row>
    <x:row r="503">
      <x:c r="A503" s="47" t="str">
        <x:v>OI010</x:v>
      </x:c>
      <x:c r="B503" s="47" t="str">
        <x:v>油脂</x:v>
      </x:c>
      <x:c r="C503" s="47" t="str">
        <x:v>無鹽奶油</x:v>
      </x:c>
      <x:c r="D503" s="47" t="str">
        <x:v>可食部</x:v>
      </x:c>
      <x:c r="E503" s="48" t="n">
        <x:v>717</x:v>
      </x:c>
      <x:c r="F503" s="48" t="n">
        <x:v>0.9</x:v>
      </x:c>
      <x:c r="G503" s="48" t="n">
        <x:v>81</x:v>
      </x:c>
      <x:c r="H503" s="48" t="n">
        <x:v>0.1</x:v>
      </x:c>
      <x:c r="I503" s="49" t="n">
        <x:v>11</x:v>
      </x:c>
      <x:c r="J503" s="47" t="str">
        <x:v>USDA FDC / Taiwan FDA / estimate</x:v>
      </x:c>
      <x:c r="K503" s="47" t="str">
        <x:v>油脂類，建議走 Oil_Rules 或調味規則</x:v>
      </x:c>
      <x:c r="L503" s="47" t="str">
        <x:v>https://fdc.nal.usda.gov/ ; https://www.fda.gov.tw/tc/siteList.aspx?sid=284 ; https://consumer.fda.gov.tw/Food/TFND.aspx?nodeID=178</x:v>
      </x:c>
    </x:row>
    <x:row r="504">
      <x:c r="A504" s="47" t="str">
        <x:v>OT004</x:v>
      </x:c>
      <x:c r="B504" s="47" t="str">
        <x:v>其他原形/常用</x:v>
      </x:c>
      <x:c r="C504" s="47" t="str">
        <x:v>蒟蒻絲</x:v>
      </x:c>
      <x:c r="D504" s="47" t="str">
        <x:v>可食部</x:v>
      </x:c>
      <x:c r="E504" s="48" t="n">
        <x:v>7</x:v>
      </x:c>
      <x:c r="F504" s="48" t="n">
        <x:v>0</x:v>
      </x:c>
      <x:c r="G504" s="48" t="n">
        <x:v>0</x:v>
      </x:c>
      <x:c r="H504" s="48" t="n">
        <x:v>3</x:v>
      </x:c>
      <x:c r="I504" s="49" t="n">
        <x:v>10</x:v>
      </x:c>
      <x:c r="J504" s="47" t="str">
        <x:v>USDA FDC / Taiwan FDA / estimate</x:v>
      </x:c>
      <x:c r="K504" s="47" t="str">
        <x:v>加工蒟蒻常含鈉，需看標示</x:v>
      </x:c>
      <x:c r="L504" s="47" t="str">
        <x:v>https://fdc.nal.usda.gov/ ; https://www.fda.gov.tw/tc/siteList.aspx?sid=284 ; https://consumer.fda.gov.tw/Food/TFND.aspx?nodeID=178</x:v>
      </x:c>
    </x:row>
    <x:row r="505">
      <x:c r="A505" s="47" t="str">
        <x:v>OT005</x:v>
      </x:c>
      <x:c r="B505" s="47" t="str">
        <x:v>其他原形/常用</x:v>
      </x:c>
      <x:c r="C505" s="47" t="str">
        <x:v>蒟蒻塊</x:v>
      </x:c>
      <x:c r="D505" s="47" t="str">
        <x:v>可食部</x:v>
      </x:c>
      <x:c r="E505" s="48" t="n">
        <x:v>7</x:v>
      </x:c>
      <x:c r="F505" s="48" t="n">
        <x:v>0</x:v>
      </x:c>
      <x:c r="G505" s="48" t="n">
        <x:v>0</x:v>
      </x:c>
      <x:c r="H505" s="48" t="n">
        <x:v>3</x:v>
      </x:c>
      <x:c r="I505" s="49" t="n">
        <x:v>10</x:v>
      </x:c>
      <x:c r="J505" s="47" t="str">
        <x:v>USDA FDC / Taiwan FDA / estimate</x:v>
      </x:c>
      <x:c r="K505" s="47" t="str">
        <x:v>加工蒟蒻常含鈉，需看標示</x:v>
      </x:c>
      <x:c r="L505" s="47" t="str">
        <x:v>https://fdc.nal.usda.gov/ ; https://www.fda.gov.tw/tc/siteList.aspx?sid=284 ; https://consumer.fda.gov.tw/Food/TFND.aspx?nodeID=178</x:v>
      </x:c>
    </x:row>
    <x:row r="506">
      <x:c r="A506" s="47" t="str">
        <x:v>OT006</x:v>
      </x:c>
      <x:c r="B506" s="47" t="str">
        <x:v>其他原形/常用</x:v>
      </x:c>
      <x:c r="C506" s="47" t="str">
        <x:v>寒天</x:v>
      </x:c>
      <x:c r="D506" s="47" t="str">
        <x:v>可食部</x:v>
      </x:c>
      <x:c r="E506" s="48" t="n">
        <x:v>26</x:v>
      </x:c>
      <x:c r="F506" s="48" t="n">
        <x:v>0.5</x:v>
      </x:c>
      <x:c r="G506" s="48" t="n">
        <x:v>0</x:v>
      </x:c>
      <x:c r="H506" s="48" t="n">
        <x:v>6.8</x:v>
      </x:c>
      <x:c r="I506" s="49" t="n">
        <x:v>10</x:v>
      </x:c>
      <x:c r="J506" s="47" t="str">
        <x:v>USDA FDC / Taiwan FDA / estimate</x:v>
      </x:c>
      <x:c r="K506" s="47" t="str">
        <x:v>依商品含水量差異大</x:v>
      </x:c>
      <x:c r="L506" s="47" t="str">
        <x:v>https://fdc.nal.usda.gov/ ; https://www.fda.gov.tw/tc/siteList.aspx?sid=284 ; https://consumer.fda.gov.tw/Food/TFND.aspx?nodeID=178</x:v>
      </x:c>
    </x:row>
    <x:row r="507">
      <x:c r="A507" s="47" t="str">
        <x:v>OT007</x:v>
      </x:c>
      <x:c r="B507" s="47" t="str">
        <x:v>其他原形/常用</x:v>
      </x:c>
      <x:c r="C507" s="47" t="str">
        <x:v>吉利丁粉</x:v>
      </x:c>
      <x:c r="D507" s="47" t="str">
        <x:v>乾/可食部</x:v>
      </x:c>
      <x:c r="E507" s="48" t="n">
        <x:v>335</x:v>
      </x:c>
      <x:c r="F507" s="48" t="n">
        <x:v>85</x:v>
      </x:c>
      <x:c r="G507" s="48" t="n">
        <x:v>0</x:v>
      </x:c>
      <x:c r="H507" s="48" t="n">
        <x:v>0</x:v>
      </x:c>
      <x:c r="I507" s="49" t="n">
        <x:v>100</x:v>
      </x:c>
      <x:c r="J507" s="47" t="str">
        <x:v>USDA FDC / Taiwan FDA / estimate</x:v>
      </x:c>
      <x:c r="K507" s="47" t="str">
        <x:v>通常用量小</x:v>
      </x:c>
      <x:c r="L507" s="47" t="str">
        <x:v>https://fdc.nal.usda.gov/ ; https://www.fda.gov.tw/tc/siteList.aspx?sid=284 ; https://consumer.fda.gov.tw/Food/TFND.aspx?nodeID=178</x:v>
      </x:c>
    </x:row>
    <x:row r="508">
      <x:c r="A508" s="47" t="str">
        <x:v>OT008</x:v>
      </x:c>
      <x:c r="B508" s="47" t="str">
        <x:v>其他原形/常用</x:v>
      </x:c>
      <x:c r="C508" s="47" t="str">
        <x:v>可可豆碎</x:v>
      </x:c>
      <x:c r="D508" s="47" t="str">
        <x:v>乾/可食部</x:v>
      </x:c>
      <x:c r="E508" s="48" t="n">
        <x:v>600</x:v>
      </x:c>
      <x:c r="F508" s="48" t="n">
        <x:v>14</x:v>
      </x:c>
      <x:c r="G508" s="48" t="n">
        <x:v>54</x:v>
      </x:c>
      <x:c r="H508" s="48" t="n">
        <x:v>30</x:v>
      </x:c>
      <x:c r="I508" s="49" t="n">
        <x:v>20</x:v>
      </x:c>
      <x:c r="J508" s="47" t="str">
        <x:v>USDA FDC / Taiwan FDA / estimate</x:v>
      </x:c>
      <x:c r="K508" s="47" t="str">
        <x:v>高脂</x:v>
      </x:c>
      <x:c r="L508" s="47" t="str">
        <x:v>https://fdc.nal.usda.gov/ ; https://www.fda.gov.tw/tc/siteList.aspx?sid=284 ; https://consumer.fda.gov.tw/Food/TFND.aspx?nodeID=178</x:v>
      </x:c>
    </x:row>
    <x:row r="509">
      <x:c r="A509" s="47" t="str">
        <x:v>OT009</x:v>
      </x:c>
      <x:c r="B509" s="47" t="str">
        <x:v>其他原形/常用</x:v>
      </x:c>
      <x:c r="C509" s="47" t="str">
        <x:v>咖啡豆（烘焙）</x:v>
      </x:c>
      <x:c r="D509" s="47" t="str">
        <x:v>乾/可食部</x:v>
      </x:c>
      <x:c r="E509" s="48" t="n">
        <x:v>300</x:v>
      </x:c>
      <x:c r="F509" s="48" t="n">
        <x:v>13</x:v>
      </x:c>
      <x:c r="G509" s="48" t="n">
        <x:v>14</x:v>
      </x:c>
      <x:c r="H509" s="48" t="n">
        <x:v>50</x:v>
      </x:c>
      <x:c r="I509" s="49" t="n">
        <x:v>5</x:v>
      </x:c>
      <x:c r="J509" s="47" t="str">
        <x:v>USDA FDC / Taiwan FDA / estimate</x:v>
      </x:c>
      <x:c r="K509" s="47" t="str">
        <x:v>通常不直接吃</x:v>
      </x:c>
      <x:c r="L509" s="47" t="str">
        <x:v>https://fdc.nal.usda.gov/ ; https://www.fda.gov.tw/tc/siteList.aspx?sid=284 ; https://consumer.fda.gov.tw/Food/TFND.aspx?nodeID=178</x:v>
      </x:c>
    </x:row>
    <x:row r="510">
      <x:c r="A510" s="47" t="str">
        <x:v>OT010</x:v>
      </x:c>
      <x:c r="B510" s="47" t="str">
        <x:v>其他原形/常用</x:v>
      </x:c>
      <x:c r="C510" s="47" t="str">
        <x:v>茶葉（乾）</x:v>
      </x:c>
      <x:c r="D510" s="47" t="str">
        <x:v>乾/可食部</x:v>
      </x:c>
      <x:c r="E510" s="48" t="n">
        <x:v>300</x:v>
      </x:c>
      <x:c r="F510" s="48" t="n">
        <x:v>20</x:v>
      </x:c>
      <x:c r="G510" s="48" t="n">
        <x:v>5</x:v>
      </x:c>
      <x:c r="H510" s="48" t="n">
        <x:v>50</x:v>
      </x:c>
      <x:c r="I510" s="49" t="n">
        <x:v>5</x:v>
      </x:c>
      <x:c r="J510" s="47" t="str">
        <x:v>USDA FDC / Taiwan FDA / estimate</x:v>
      </x:c>
      <x:c r="K510" s="47" t="str">
        <x:v>通常泡茶不全量攝取</x:v>
      </x:c>
      <x:c r="L510" s="47" t="str">
        <x:v>https://fdc.nal.usda.gov/ ; https://www.fda.gov.tw/tc/siteList.aspx?sid=284 ; https://consumer.fda.gov.tw/Food/TFND.aspx?nodeID=178</x:v>
      </x:c>
    </x:row>
    <x:row r="511">
      <x:c r="A511" s="47" t="str">
        <x:v>OT011</x:v>
      </x:c>
      <x:c r="B511" s="47" t="str">
        <x:v>其他原形/常用</x:v>
      </x:c>
      <x:c r="C511" s="47" t="str">
        <x:v>醋</x:v>
      </x:c>
      <x:c r="D511" s="47" t="str">
        <x:v>液體/100ml</x:v>
      </x:c>
      <x:c r="E511" s="48" t="n">
        <x:v>18</x:v>
      </x:c>
      <x:c r="F511" s="48" t="n">
        <x:v>0</x:v>
      </x:c>
      <x:c r="G511" s="48" t="n">
        <x:v>0</x:v>
      </x:c>
      <x:c r="H511" s="48" t="n">
        <x:v>0.9</x:v>
      </x:c>
      <x:c r="I511" s="49" t="n">
        <x:v>2</x:v>
      </x:c>
      <x:c r="J511" s="47" t="str">
        <x:v>USDA FDC / Taiwan FDA / estimate</x:v>
      </x:c>
      <x:c r="K511" s="47" t="str">
        <x:v>調味用，通常熱量低</x:v>
      </x:c>
      <x:c r="L511" s="47" t="str">
        <x:v>https://fdc.nal.usda.gov/ ; https://www.fda.gov.tw/tc/siteList.aspx?sid=284 ; https://consumer.fda.gov.tw/Food/TFND.aspx?nodeID=178</x:v>
      </x:c>
    </x:row>
    <x:row r="512">
      <x:c r="A512" s="47" t="str">
        <x:v>OT012</x:v>
      </x:c>
      <x:c r="B512" s="47" t="str">
        <x:v>其他原形/常用</x:v>
      </x:c>
      <x:c r="C512" s="47" t="str">
        <x:v>醬油</x:v>
      </x:c>
      <x:c r="D512" s="47" t="str">
        <x:v>液體/100ml</x:v>
      </x:c>
      <x:c r="E512" s="48" t="n">
        <x:v>53</x:v>
      </x:c>
      <x:c r="F512" s="48" t="n">
        <x:v>8</x:v>
      </x:c>
      <x:c r="G512" s="48" t="n">
        <x:v>0.1</x:v>
      </x:c>
      <x:c r="H512" s="48" t="n">
        <x:v>4.9</x:v>
      </x:c>
      <x:c r="I512" s="49" t="n">
        <x:v>5493</x:v>
      </x:c>
      <x:c r="J512" s="47" t="str">
        <x:v>USDA FDC / Taiwan FDA / estimate</x:v>
      </x:c>
      <x:c r="K512" s="47" t="str">
        <x:v>調味用，鈉非常高</x:v>
      </x:c>
      <x:c r="L512" s="47" t="str">
        <x:v>https://fdc.nal.usda.gov/ ; https://www.fda.gov.tw/tc/siteList.aspx?sid=284 ; https://consumer.fda.gov.tw/Food/TFND.aspx?nodeID=178</x:v>
      </x:c>
    </x:row>
    <x:row r="513">
      <x:c r="A513" s="47" t="str">
        <x:v>OT013</x:v>
      </x:c>
      <x:c r="B513" s="47" t="str">
        <x:v>其他原形/常用</x:v>
      </x:c>
      <x:c r="C513" s="47" t="str">
        <x:v>鹽</x:v>
      </x:c>
      <x:c r="D513" s="47" t="str">
        <x:v>可食部</x:v>
      </x:c>
      <x:c r="E513" s="48" t="n">
        <x:v>0</x:v>
      </x:c>
      <x:c r="F513" s="48" t="n">
        <x:v>0</x:v>
      </x:c>
      <x:c r="G513" s="48" t="n">
        <x:v>0</x:v>
      </x:c>
      <x:c r="H513" s="48" t="n">
        <x:v>0</x:v>
      </x:c>
      <x:c r="I513" s="49" t="n">
        <x:v>38758</x:v>
      </x:c>
      <x:c r="J513" s="47" t="str">
        <x:v>USDA FDC / Taiwan FDA / estimate</x:v>
      </x:c>
      <x:c r="K513" s="47" t="str">
        <x:v>調味用，鈉來源</x:v>
      </x:c>
      <x:c r="L513" s="47" t="str">
        <x:v>https://fdc.nal.usda.gov/ ; https://www.fda.gov.tw/tc/siteList.aspx?sid=284 ; https://consumer.fda.gov.tw/Food/TFND.aspx?nodeID=178</x:v>
      </x:c>
    </x:row>
    <x:row r="514">
      <x:c r="A514" s="47" t="str">
        <x:v>VG118</x:v>
      </x:c>
      <x:c r="B514" s="47" t="str">
        <x:v>蔬菜</x:v>
      </x:c>
      <x:c r="C514" s="47" t="str">
        <x:v>菊苣</x:v>
      </x:c>
      <x:c r="D514" s="47" t="str">
        <x:v>生/可食部</x:v>
      </x:c>
      <x:c r="E514" s="48" t="n">
        <x:v>17</x:v>
      </x:c>
      <x:c r="F514" s="48" t="n">
        <x:v>1.3</x:v>
      </x:c>
      <x:c r="G514" s="48" t="n">
        <x:v>0.2</x:v>
      </x:c>
      <x:c r="H514" s="48" t="n">
        <x:v>3.4</x:v>
      </x:c>
      <x:c r="I514" s="49" t="n">
        <x:v>22</x:v>
      </x:c>
      <x:c r="J514" s="47" t="str">
        <x:v>USDA FDC / Taiwan FDA / estimate</x:v>
      </x:c>
      <x:c r="K514" s="47"/>
      <x:c r="L514" s="47" t="str">
        <x:v>https://fdc.nal.usda.gov/ ; https://www.fda.gov.tw/tc/siteList.aspx?sid=284 ; https://consumer.fda.gov.tw/Food/TFND.aspx?nodeID=178</x:v>
      </x:c>
    </x:row>
    <x:row r="515">
      <x:c r="A515" s="47" t="str">
        <x:v>VG119</x:v>
      </x:c>
      <x:c r="B515" s="47" t="str">
        <x:v>蔬菜</x:v>
      </x:c>
      <x:c r="C515" s="47" t="str">
        <x:v>朝鮮薊（熟）</x:v>
      </x:c>
      <x:c r="D515" s="47" t="str">
        <x:v>熟/可食部</x:v>
      </x:c>
      <x:c r="E515" s="48" t="n">
        <x:v>53</x:v>
      </x:c>
      <x:c r="F515" s="48" t="n">
        <x:v>2.9</x:v>
      </x:c>
      <x:c r="G515" s="48" t="n">
        <x:v>0.3</x:v>
      </x:c>
      <x:c r="H515" s="48" t="n">
        <x:v>11.9</x:v>
      </x:c>
      <x:c r="I515" s="49" t="n">
        <x:v>60</x:v>
      </x:c>
      <x:c r="J515" s="47" t="str">
        <x:v>USDA FDC / Taiwan FDA / estimate</x:v>
      </x:c>
      <x:c r="K515" s="47"/>
      <x:c r="L515" s="47" t="str">
        <x:v>https://fdc.nal.usda.gov/ ; https://www.fda.gov.tw/tc/siteList.aspx?sid=284 ; https://consumer.fda.gov.tw/Food/TFND.aspx?nodeID=178</x:v>
      </x:c>
    </x:row>
    <x:row r="516">
      <x:c r="A516" s="47" t="str">
        <x:v>ME074</x:v>
      </x:c>
      <x:c r="B516" s="47" t="str">
        <x:v>肉類/蛋白質</x:v>
      </x:c>
      <x:c r="C516" s="47" t="str">
        <x:v>牛骨髓（熟）</x:v>
      </x:c>
      <x:c r="D516" s="47" t="str">
        <x:v>熟/可食部</x:v>
      </x:c>
      <x:c r="E516" s="48" t="n">
        <x:v>770</x:v>
      </x:c>
      <x:c r="F516" s="48" t="n">
        <x:v>7</x:v>
      </x:c>
      <x:c r="G516" s="48" t="n">
        <x:v>84</x:v>
      </x:c>
      <x:c r="H516" s="48" t="n">
        <x:v>0</x:v>
      </x:c>
      <x:c r="I516" s="49" t="n">
        <x:v>40</x:v>
      </x:c>
      <x:c r="J516" s="47" t="str">
        <x:v>USDA FDC / Taiwan FDA / estimate</x:v>
      </x:c>
      <x:c r="K516" s="47" t="str">
        <x:v>極高脂，通常用量小</x:v>
      </x:c>
      <x:c r="L516" s="47" t="str">
        <x:v>https://fdc.nal.usda.gov/ ; https://www.fda.gov.tw/tc/siteList.aspx?sid=284 ; https://consumer.fda.gov.tw/Food/TFND.aspx?nodeID=178</x:v>
      </x:c>
    </x:row>
  </x:sheetData>
  <x:pageMargins left="0.7" right="0.7" top="0.75" bottom="0.75" header="0.3" footer="0.3"/>
  <x:tableParts count="2">
    <x:tablePart xmlns:r="http://schemas.openxmlformats.org/officeDocument/2006/relationships" r:id="R13fc64dbc2764793"/>
    <x:tablePart xmlns:r="http://schemas.openxmlformats.org/officeDocument/2006/relationships" r:id="R8098f2b43adc49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4" t="str">
        <x:v>BetterBit 原形食物乾餐營養計算器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/>
      <x:c r="M1" s="4"/>
      <x:c r="N1" s="4"/>
      <x:c r="O1" s="4"/>
      <x:c r="P1" s="4"/>
    </x:row>
    <x:row r="2">
      <x:c r="A2" s="8" t="str">
        <x:v>使用方式</x:v>
      </x:c>
      <x:c r="B2" s="8" t="str">
        <x:v>在 A9:A28 選食材，B 欄輸入重量。B3-B5 設定整餐烹調/油/醬。目前 IngredientDB 共 515 筆食材。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8" t="str">
        <x:v>烹調方式</x:v>
      </x:c>
      <x:c r="B3" s="8" t="str">
        <x:v>炒</x:v>
      </x:c>
      <x:c r="C3" s="8"/>
      <x:c r="D3" s="8" t="str">
        <x:v>自動油量 g</x:v>
      </x:c>
      <x:c r="E3" s="34" t="n">
        <x:f>IFERROR(VLOOKUP($B$3&amp;"|"&amp;$B$4,Oil_Rules!$A:$D,4,FALSE),0)</x:f>
        <x:v>10</x:v>
      </x:c>
      <x:c r="F3" s="8"/>
      <x:c r="G3" s="8" t="str">
        <x:v>基礎總計</x:v>
      </x:c>
      <x:c r="H3" s="8"/>
      <x:c r="I3" s="8"/>
      <x:c r="J3" s="8"/>
      <x:c r="K3" s="8"/>
      <x:c r="L3" s="8"/>
      <x:c r="M3" s="8"/>
      <x:c r="N3" s="8"/>
      <x:c r="O3" s="8"/>
      <x:c r="P3" s="8"/>
    </x:row>
    <x:row r="4">
      <x:c r="A4" s="8" t="str">
        <x:v>油量等級</x:v>
      </x:c>
      <x:c r="B4" s="8" t="str">
        <x:v>一般</x:v>
      </x:c>
      <x:c r="C4" s="8"/>
      <x:c r="D4" s="8" t="str">
        <x:v>自訂油量 g（可空白）</x:v>
      </x:c>
      <x:c r="E4" s="34"/>
      <x:c r="F4" s="8"/>
      <x:c r="G4" s="8" t="str">
        <x:v>油脂加成</x:v>
      </x:c>
      <x:c r="H4" s="8"/>
      <x:c r="I4" s="8"/>
      <x:c r="J4" s="8"/>
      <x:c r="K4" s="8"/>
      <x:c r="L4" s="8"/>
      <x:c r="M4" s="8"/>
      <x:c r="N4" s="8"/>
      <x:c r="O4" s="8"/>
      <x:c r="P4" s="8"/>
    </x:row>
    <x:row r="5">
      <x:c r="A5" s="8" t="str">
        <x:v>醬汁量</x:v>
      </x:c>
      <x:c r="B5" s="8" t="str">
        <x:v>正常</x:v>
      </x:c>
      <x:c r="C5" s="8"/>
      <x:c r="D5" s="8" t="str">
        <x:v>實際採用油量 g</x:v>
      </x:c>
      <x:c r="E5" s="34" t="n">
        <x:f>IF($E$4&lt;&gt;"",$E$4,$E$3)</x:f>
        <x:v>10</x:v>
      </x:c>
      <x:c r="F5" s="8"/>
      <x:c r="G5" s="8" t="str">
        <x:v>醬汁加成</x:v>
      </x:c>
      <x:c r="H5" s="8"/>
      <x:c r="I5" s="8"/>
      <x:c r="J5" s="8"/>
      <x:c r="K5" s="8"/>
      <x:c r="L5" s="8"/>
      <x:c r="M5" s="8"/>
      <x:c r="N5" s="8"/>
      <x:c r="O5" s="8"/>
      <x:c r="P5" s="8"/>
    </x:row>
    <x:row r="6">
      <x:c r="A6" s="8" t="str">
        <x:v>注意</x:v>
      </x:c>
      <x:c r="B6" s="8" t="str">
        <x:v>油與醬以整餐加一次；若多道菜請只在總餐設定，不要每個食材重複加。</x:v>
      </x:c>
      <x:c r="C6" s="8"/>
      <x:c r="D6" s="8" t="str">
        <x:v>油 kcal</x:v>
      </x:c>
      <x:c r="E6" s="34" t="n">
        <x:f>$E$5*9</x:f>
        <x:v>90</x:v>
      </x:c>
      <x:c r="F6" s="8"/>
      <x:c r="G6" s="8" t="str">
        <x:v>最終合計</x:v>
      </x:c>
      <x:c r="H6" s="8"/>
      <x:c r="I6" s="8"/>
      <x:c r="J6" s="8"/>
      <x:c r="K6" s="8"/>
      <x:c r="L6" s="8"/>
      <x:c r="M6" s="8"/>
      <x:c r="N6" s="8"/>
      <x:c r="O6" s="8"/>
      <x:c r="P6" s="8"/>
    </x:row>
    <x:row r="8">
      <x:c r="A8" s="14" t="str">
        <x:v>food_name</x:v>
      </x:c>
      <x:c r="B8" s="14" t="str">
        <x:v>weight_g</x:v>
      </x:c>
      <x:c r="C8" s="14" t="str">
        <x:v>state</x:v>
      </x:c>
      <x:c r="D8" s="14" t="str">
        <x:v>kcal</x:v>
      </x:c>
      <x:c r="E8" s="14" t="str">
        <x:v>protein_g</x:v>
      </x:c>
      <x:c r="F8" s="14" t="str">
        <x:v>fat_g</x:v>
      </x:c>
      <x:c r="G8" s="14" t="str">
        <x:v>carb_g</x:v>
      </x:c>
      <x:c r="H8" s="14" t="str">
        <x:v>sodium_mg</x:v>
      </x:c>
      <x:c r="I8" s="14" t="str">
        <x:v>source_note</x:v>
      </x:c>
      <x:c r="K8" s="24" t="str">
        <x:v>項目</x:v>
      </x:c>
      <x:c r="L8" s="24" t="str">
        <x:v>kcal</x:v>
      </x:c>
      <x:c r="M8" s="24" t="str">
        <x:v>protein_g</x:v>
      </x:c>
      <x:c r="N8" s="24" t="str">
        <x:v>fat_g</x:v>
      </x:c>
      <x:c r="O8" s="24" t="str">
        <x:v>carb_g</x:v>
      </x:c>
      <x:c r="P8" s="24" t="str">
        <x:v>sodium_mg</x:v>
      </x:c>
    </x:row>
    <x:row r="9">
      <x:c r="A9" s="8" t="str">
        <x:v>白飯（熟）</x:v>
      </x:c>
      <x:c r="B9" s="8" t="n">
        <x:v>150</x:v>
      </x:c>
      <x:c r="C9" s="8" t="str">
        <x:f>IFERROR(VLOOKUP($A9,IngredientDB!$C:$K,2,FALSE),"")</x:f>
        <x:v>熟/可食部</x:v>
      </x:c>
      <x:c r="D9" s="34" t="n">
        <x:f>IFERROR($B9/100*VLOOKUP($A9,IngredientDB!$C:$I,3,FALSE),0)</x:f>
        <x:v>195</x:v>
      </x:c>
      <x:c r="E9" s="34" t="n">
        <x:f>IFERROR($B9/100*VLOOKUP($A9,IngredientDB!$C:$I,4,FALSE),0)</x:f>
        <x:v>3.5999999999999996</x:v>
      </x:c>
      <x:c r="F9" s="34" t="n">
        <x:f>IFERROR($B9/100*VLOOKUP($A9,IngredientDB!$C:$I,5,FALSE),0)</x:f>
        <x:v>0.44999999999999996</x:v>
      </x:c>
      <x:c r="G9" s="34" t="n">
        <x:f>IFERROR($B9/100*VLOOKUP($A9,IngredientDB!$C:$I,6,FALSE),0)</x:f>
        <x:v>42.3</x:v>
      </x:c>
      <x:c r="H9" s="34" t="n">
        <x:f>IFERROR($B9/100*VLOOKUP($A9,IngredientDB!$C:$I,7,FALSE),0)</x:f>
        <x:v>1.5</x:v>
      </x:c>
      <x:c r="I9" s="8" t="str">
        <x:f>IFERROR(VLOOKUP($A9,IngredientDB!$C:$K,9,FALSE),"")</x:f>
        <x:v>白飯水分差異大，便當飯可用此值</x:v>
      </x:c>
      <x:c r="K9" t="str">
        <x:v>基礎食材</x:v>
      </x:c>
      <x:c r="L9" s="36" t="n">
        <x:f>SUM(D9:D28)</x:f>
        <x:v>428</x:v>
      </x:c>
      <x:c r="M9" s="36" t="n">
        <x:f>SUM(E9:E28)</x:f>
        <x:v>43.199999999999996</x:v>
      </x:c>
      <x:c r="N9" s="36" t="n">
        <x:f>SUM(F9:F28)</x:f>
        <x:v>5.170000000000001</x:v>
      </x:c>
      <x:c r="O9" s="36" t="n">
        <x:f>SUM(G9:G28)</x:f>
        <x:v>49.5</x:v>
      </x:c>
      <x:c r="P9" s="36" t="n">
        <x:f>SUM(H9:H28)</x:f>
        <x:v>131.3</x:v>
      </x:c>
    </x:row>
    <x:row r="10">
      <x:c r="A10" s="8" t="str">
        <x:v>雞胸肉（熟去皮）</x:v>
      </x:c>
      <x:c r="B10" s="8" t="n">
        <x:v>120</x:v>
      </x:c>
      <x:c r="C10" s="8" t="str">
        <x:f>IFERROR(VLOOKUP($A10,IngredientDB!$C:$K,2,FALSE),"")</x:f>
        <x:v>熟/可食部</x:v>
      </x:c>
      <x:c r="D10" s="34" t="n">
        <x:f>IFERROR($B10/100*VLOOKUP($A10,IngredientDB!$C:$I,3,FALSE),0)</x:f>
        <x:v>198</x:v>
      </x:c>
      <x:c r="E10" s="34" t="n">
        <x:f>IFERROR($B10/100*VLOOKUP($A10,IngredientDB!$C:$I,4,FALSE),0)</x:f>
        <x:v>37.199999999999996</x:v>
      </x:c>
      <x:c r="F10" s="34" t="n">
        <x:f>IFERROR($B10/100*VLOOKUP($A10,IngredientDB!$C:$I,5,FALSE),0)</x:f>
        <x:v>4.32</x:v>
      </x:c>
      <x:c r="G10" s="34" t="n">
        <x:f>IFERROR($B10/100*VLOOKUP($A10,IngredientDB!$C:$I,6,FALSE),0)</x:f>
        <x:v>0</x:v>
      </x:c>
      <x:c r="H10" s="34" t="n">
        <x:f>IFERROR($B10/100*VLOOKUP($A10,IngredientDB!$C:$I,7,FALSE),0)</x:f>
        <x:v>88.8</x:v>
      </x:c>
      <x:c r="I10" s="8" t="str">
        <x:f>IFERROR(VLOOKUP($A10,IngredientDB!$C:$K,9,FALSE),"")</x:f>
        <x:v>健身餐主力，可作預設雞胸</x:v>
      </x:c>
      <x:c r="K10" t="str">
        <x:v>用油加成</x:v>
      </x:c>
      <x:c r="L10" s="36" t="n">
        <x:f>$E$6</x:f>
        <x:v>90</x:v>
      </x:c>
      <x:c r="M10" s="36" t="n">
        <x:f>0</x:f>
        <x:v>0</x:v>
      </x:c>
      <x:c r="N10" s="36" t="n">
        <x:f>$E$5</x:f>
        <x:v>10</x:v>
      </x:c>
      <x:c r="O10" s="36" t="n">
        <x:f>0</x:f>
        <x:v>0</x:v>
      </x:c>
      <x:c r="P10" s="36" t="n">
        <x:f>0</x:f>
        <x:v>0</x:v>
      </x:c>
    </x:row>
    <x:row r="11">
      <x:c r="A11" s="8" t="str">
        <x:v>青花菜（熟）</x:v>
      </x:c>
      <x:c r="B11" s="8" t="n">
        <x:v>100</x:v>
      </x:c>
      <x:c r="C11" s="8" t="str">
        <x:f>IFERROR(VLOOKUP($A11,IngredientDB!$C:$K,2,FALSE),"")</x:f>
        <x:v>熟/可食部</x:v>
      </x:c>
      <x:c r="D11" s="34" t="n">
        <x:f>IFERROR($B11/100*VLOOKUP($A11,IngredientDB!$C:$I,3,FALSE),0)</x:f>
        <x:v>35</x:v>
      </x:c>
      <x:c r="E11" s="34" t="n">
        <x:f>IFERROR($B11/100*VLOOKUP($A11,IngredientDB!$C:$I,4,FALSE),0)</x:f>
        <x:v>2.4</x:v>
      </x:c>
      <x:c r="F11" s="34" t="n">
        <x:f>IFERROR($B11/100*VLOOKUP($A11,IngredientDB!$C:$I,5,FALSE),0)</x:f>
        <x:v>0.4</x:v>
      </x:c>
      <x:c r="G11" s="34" t="n">
        <x:f>IFERROR($B11/100*VLOOKUP($A11,IngredientDB!$C:$I,6,FALSE),0)</x:f>
        <x:v>7.2</x:v>
      </x:c>
      <x:c r="H11" s="34" t="n">
        <x:f>IFERROR($B11/100*VLOOKUP($A11,IngredientDB!$C:$I,7,FALSE),0)</x:f>
        <x:v>41</x:v>
      </x:c>
      <x:c r="I11" s="8" t="str">
        <x:f>IFERROR(VLOOKUP($A11,IngredientDB!$C:$K,9,FALSE),"")</x:f>
      </x:c>
      <x:c r="K11" t="str">
        <x:v>醬汁加成</x:v>
      </x:c>
      <x:c r="L11" s="36" t="n">
        <x:f>IFERROR(VLOOKUP($B$5,Sauce_Rules!$A:$F,2,FALSE),0)</x:f>
        <x:v>40</x:v>
      </x:c>
      <x:c r="M11" s="36" t="n">
        <x:f>IFERROR(VLOOKUP($B$5,Sauce_Rules!$A:$F,3,FALSE),0)</x:f>
        <x:v>1</x:v>
      </x:c>
      <x:c r="N11" s="36" t="n">
        <x:f>IFERROR(VLOOKUP($B$5,Sauce_Rules!$A:$F,4,FALSE),0)</x:f>
        <x:v>0.5</x:v>
      </x:c>
      <x:c r="O11" s="36" t="n">
        <x:f>IFERROR(VLOOKUP($B$5,Sauce_Rules!$A:$F,5,FALSE),0)</x:f>
        <x:v>8</x:v>
      </x:c>
      <x:c r="P11" s="36" t="n">
        <x:f>IFERROR(VLOOKUP($B$5,Sauce_Rules!$A:$F,6,FALSE),0)</x:f>
        <x:v>650</x:v>
      </x:c>
    </x:row>
    <x:row r="12">
      <x:c r="A12" s="8" t="str"/>
      <x:c r="B12" s="8"/>
      <x:c r="C12" s="8" t="str">
        <x:f>IFERROR(VLOOKUP($A12,IngredientDB!$C:$K,2,FALSE),"")</x:f>
      </x:c>
      <x:c r="D12" s="34" t="n">
        <x:f>IFERROR($B12/100*VLOOKUP($A12,IngredientDB!$C:$I,3,FALSE),0)</x:f>
        <x:v>0</x:v>
      </x:c>
      <x:c r="E12" s="34" t="n">
        <x:f>IFERROR($B12/100*VLOOKUP($A12,IngredientDB!$C:$I,4,FALSE),0)</x:f>
        <x:v>0</x:v>
      </x:c>
      <x:c r="F12" s="34" t="n">
        <x:f>IFERROR($B12/100*VLOOKUP($A12,IngredientDB!$C:$I,5,FALSE),0)</x:f>
        <x:v>0</x:v>
      </x:c>
      <x:c r="G12" s="34" t="n">
        <x:f>IFERROR($B12/100*VLOOKUP($A12,IngredientDB!$C:$I,6,FALSE),0)</x:f>
        <x:v>0</x:v>
      </x:c>
      <x:c r="H12" s="34" t="n">
        <x:f>IFERROR($B12/100*VLOOKUP($A12,IngredientDB!$C:$I,7,FALSE),0)</x:f>
        <x:v>0</x:v>
      </x:c>
      <x:c r="I12" s="8" t="str">
        <x:f>IFERROR(VLOOKUP($A12,IngredientDB!$C:$K,9,FALSE),"")</x:f>
      </x:c>
      <x:c r="K12" s="31" t="str">
        <x:v>最終合計</x:v>
      </x:c>
      <x:c r="L12" s="37" t="n">
        <x:f>SUM(L9:L11)</x:f>
        <x:v>558</x:v>
      </x:c>
      <x:c r="M12" s="37" t="n">
        <x:f>SUM(M9:M11)</x:f>
        <x:v>44.199999999999996</x:v>
      </x:c>
      <x:c r="N12" s="37" t="n">
        <x:f>SUM(N9:N11)</x:f>
        <x:v>15.670000000000002</x:v>
      </x:c>
      <x:c r="O12" s="37" t="n">
        <x:f>SUM(O9:O11)</x:f>
        <x:v>57.5</x:v>
      </x:c>
      <x:c r="P12" s="37" t="n">
        <x:f>SUM(P9:P11)</x:f>
        <x:v>781.3</x:v>
      </x:c>
    </x:row>
    <x:row r="13">
      <x:c r="A13" s="8" t="str"/>
      <x:c r="B13" s="8"/>
      <x:c r="C13" s="8" t="str">
        <x:f>IFERROR(VLOOKUP($A13,IngredientDB!$C:$K,2,FALSE),"")</x:f>
      </x:c>
      <x:c r="D13" s="34" t="n">
        <x:f>IFERROR($B13/100*VLOOKUP($A13,IngredientDB!$C:$I,3,FALSE),0)</x:f>
        <x:v>0</x:v>
      </x:c>
      <x:c r="E13" s="34" t="n">
        <x:f>IFERROR($B13/100*VLOOKUP($A13,IngredientDB!$C:$I,4,FALSE),0)</x:f>
        <x:v>0</x:v>
      </x:c>
      <x:c r="F13" s="34" t="n">
        <x:f>IFERROR($B13/100*VLOOKUP($A13,IngredientDB!$C:$I,5,FALSE),0)</x:f>
        <x:v>0</x:v>
      </x:c>
      <x:c r="G13" s="34" t="n">
        <x:f>IFERROR($B13/100*VLOOKUP($A13,IngredientDB!$C:$I,6,FALSE),0)</x:f>
        <x:v>0</x:v>
      </x:c>
      <x:c r="H13" s="34" t="n">
        <x:f>IFERROR($B13/100*VLOOKUP($A13,IngredientDB!$C:$I,7,FALSE),0)</x:f>
        <x:v>0</x:v>
      </x:c>
      <x:c r="I13" s="8" t="str">
        <x:f>IFERROR(VLOOKUP($A13,IngredientDB!$C:$K,9,FALSE),"")</x:f>
      </x:c>
    </x:row>
    <x:row r="14">
      <x:c r="A14" s="8" t="str"/>
      <x:c r="B14" s="8"/>
      <x:c r="C14" s="8" t="str">
        <x:f>IFERROR(VLOOKUP($A14,IngredientDB!$C:$K,2,FALSE),"")</x:f>
      </x:c>
      <x:c r="D14" s="34" t="n">
        <x:f>IFERROR($B14/100*VLOOKUP($A14,IngredientDB!$C:$I,3,FALSE),0)</x:f>
        <x:v>0</x:v>
      </x:c>
      <x:c r="E14" s="34" t="n">
        <x:f>IFERROR($B14/100*VLOOKUP($A14,IngredientDB!$C:$I,4,FALSE),0)</x:f>
        <x:v>0</x:v>
      </x:c>
      <x:c r="F14" s="34" t="n">
        <x:f>IFERROR($B14/100*VLOOKUP($A14,IngredientDB!$C:$I,5,FALSE),0)</x:f>
        <x:v>0</x:v>
      </x:c>
      <x:c r="G14" s="34" t="n">
        <x:f>IFERROR($B14/100*VLOOKUP($A14,IngredientDB!$C:$I,6,FALSE),0)</x:f>
        <x:v>0</x:v>
      </x:c>
      <x:c r="H14" s="34" t="n">
        <x:f>IFERROR($B14/100*VLOOKUP($A14,IngredientDB!$C:$I,7,FALSE),0)</x:f>
        <x:v>0</x:v>
      </x:c>
      <x:c r="I14" s="8" t="str">
        <x:f>IFERROR(VLOOKUP($A14,IngredientDB!$C:$K,9,FALSE),"")</x:f>
      </x:c>
    </x:row>
    <x:row r="15">
      <x:c r="A15" s="8" t="str"/>
      <x:c r="B15" s="8"/>
      <x:c r="C15" s="8" t="str">
        <x:f>IFERROR(VLOOKUP($A15,IngredientDB!$C:$K,2,FALSE),"")</x:f>
      </x:c>
      <x:c r="D15" s="34" t="n">
        <x:f>IFERROR($B15/100*VLOOKUP($A15,IngredientDB!$C:$I,3,FALSE),0)</x:f>
        <x:v>0</x:v>
      </x:c>
      <x:c r="E15" s="34" t="n">
        <x:f>IFERROR($B15/100*VLOOKUP($A15,IngredientDB!$C:$I,4,FALSE),0)</x:f>
        <x:v>0</x:v>
      </x:c>
      <x:c r="F15" s="34" t="n">
        <x:f>IFERROR($B15/100*VLOOKUP($A15,IngredientDB!$C:$I,5,FALSE),0)</x:f>
        <x:v>0</x:v>
      </x:c>
      <x:c r="G15" s="34" t="n">
        <x:f>IFERROR($B15/100*VLOOKUP($A15,IngredientDB!$C:$I,6,FALSE),0)</x:f>
        <x:v>0</x:v>
      </x:c>
      <x:c r="H15" s="34" t="n">
        <x:f>IFERROR($B15/100*VLOOKUP($A15,IngredientDB!$C:$I,7,FALSE),0)</x:f>
        <x:v>0</x:v>
      </x:c>
      <x:c r="I15" s="8" t="str">
        <x:f>IFERROR(VLOOKUP($A15,IngredientDB!$C:$K,9,FALSE),"")</x:f>
      </x:c>
    </x:row>
    <x:row r="16">
      <x:c r="A16" s="8" t="str"/>
      <x:c r="B16" s="8"/>
      <x:c r="C16" s="8" t="str">
        <x:f>IFERROR(VLOOKUP($A16,IngredientDB!$C:$K,2,FALSE),"")</x:f>
      </x:c>
      <x:c r="D16" s="34" t="n">
        <x:f>IFERROR($B16/100*VLOOKUP($A16,IngredientDB!$C:$I,3,FALSE),0)</x:f>
        <x:v>0</x:v>
      </x:c>
      <x:c r="E16" s="34" t="n">
        <x:f>IFERROR($B16/100*VLOOKUP($A16,IngredientDB!$C:$I,4,FALSE),0)</x:f>
        <x:v>0</x:v>
      </x:c>
      <x:c r="F16" s="34" t="n">
        <x:f>IFERROR($B16/100*VLOOKUP($A16,IngredientDB!$C:$I,5,FALSE),0)</x:f>
        <x:v>0</x:v>
      </x:c>
      <x:c r="G16" s="34" t="n">
        <x:f>IFERROR($B16/100*VLOOKUP($A16,IngredientDB!$C:$I,6,FALSE),0)</x:f>
        <x:v>0</x:v>
      </x:c>
      <x:c r="H16" s="34" t="n">
        <x:f>IFERROR($B16/100*VLOOKUP($A16,IngredientDB!$C:$I,7,FALSE),0)</x:f>
        <x:v>0</x:v>
      </x:c>
      <x:c r="I16" s="8" t="str">
        <x:f>IFERROR(VLOOKUP($A16,IngredientDB!$C:$K,9,FALSE),"")</x:f>
      </x:c>
    </x:row>
    <x:row r="17">
      <x:c r="A17" s="8" t="str"/>
      <x:c r="B17" s="8"/>
      <x:c r="C17" s="8" t="str">
        <x:f>IFERROR(VLOOKUP($A17,IngredientDB!$C:$K,2,FALSE),"")</x:f>
      </x:c>
      <x:c r="D17" s="34" t="n">
        <x:f>IFERROR($B17/100*VLOOKUP($A17,IngredientDB!$C:$I,3,FALSE),0)</x:f>
        <x:v>0</x:v>
      </x:c>
      <x:c r="E17" s="34" t="n">
        <x:f>IFERROR($B17/100*VLOOKUP($A17,IngredientDB!$C:$I,4,FALSE),0)</x:f>
        <x:v>0</x:v>
      </x:c>
      <x:c r="F17" s="34" t="n">
        <x:f>IFERROR($B17/100*VLOOKUP($A17,IngredientDB!$C:$I,5,FALSE),0)</x:f>
        <x:v>0</x:v>
      </x:c>
      <x:c r="G17" s="34" t="n">
        <x:f>IFERROR($B17/100*VLOOKUP($A17,IngredientDB!$C:$I,6,FALSE),0)</x:f>
        <x:v>0</x:v>
      </x:c>
      <x:c r="H17" s="34" t="n">
        <x:f>IFERROR($B17/100*VLOOKUP($A17,IngredientDB!$C:$I,7,FALSE),0)</x:f>
        <x:v>0</x:v>
      </x:c>
      <x:c r="I17" s="8" t="str">
        <x:f>IFERROR(VLOOKUP($A17,IngredientDB!$C:$K,9,FALSE),"")</x:f>
      </x:c>
    </x:row>
    <x:row r="18">
      <x:c r="A18" s="8" t="str"/>
      <x:c r="B18" s="8"/>
      <x:c r="C18" s="8" t="str">
        <x:f>IFERROR(VLOOKUP($A18,IngredientDB!$C:$K,2,FALSE),"")</x:f>
      </x:c>
      <x:c r="D18" s="34" t="n">
        <x:f>IFERROR($B18/100*VLOOKUP($A18,IngredientDB!$C:$I,3,FALSE),0)</x:f>
        <x:v>0</x:v>
      </x:c>
      <x:c r="E18" s="34" t="n">
        <x:f>IFERROR($B18/100*VLOOKUP($A18,IngredientDB!$C:$I,4,FALSE),0)</x:f>
        <x:v>0</x:v>
      </x:c>
      <x:c r="F18" s="34" t="n">
        <x:f>IFERROR($B18/100*VLOOKUP($A18,IngredientDB!$C:$I,5,FALSE),0)</x:f>
        <x:v>0</x:v>
      </x:c>
      <x:c r="G18" s="34" t="n">
        <x:f>IFERROR($B18/100*VLOOKUP($A18,IngredientDB!$C:$I,6,FALSE),0)</x:f>
        <x:v>0</x:v>
      </x:c>
      <x:c r="H18" s="34" t="n">
        <x:f>IFERROR($B18/100*VLOOKUP($A18,IngredientDB!$C:$I,7,FALSE),0)</x:f>
        <x:v>0</x:v>
      </x:c>
      <x:c r="I18" s="8" t="str">
        <x:f>IFERROR(VLOOKUP($A18,IngredientDB!$C:$K,9,FALSE),"")</x:f>
      </x:c>
    </x:row>
    <x:row r="19">
      <x:c r="A19" s="8" t="str"/>
      <x:c r="B19" s="8"/>
      <x:c r="C19" s="8" t="str">
        <x:f>IFERROR(VLOOKUP($A19,IngredientDB!$C:$K,2,FALSE),"")</x:f>
      </x:c>
      <x:c r="D19" s="34" t="n">
        <x:f>IFERROR($B19/100*VLOOKUP($A19,IngredientDB!$C:$I,3,FALSE),0)</x:f>
        <x:v>0</x:v>
      </x:c>
      <x:c r="E19" s="34" t="n">
        <x:f>IFERROR($B19/100*VLOOKUP($A19,IngredientDB!$C:$I,4,FALSE),0)</x:f>
        <x:v>0</x:v>
      </x:c>
      <x:c r="F19" s="34" t="n">
        <x:f>IFERROR($B19/100*VLOOKUP($A19,IngredientDB!$C:$I,5,FALSE),0)</x:f>
        <x:v>0</x:v>
      </x:c>
      <x:c r="G19" s="34" t="n">
        <x:f>IFERROR($B19/100*VLOOKUP($A19,IngredientDB!$C:$I,6,FALSE),0)</x:f>
        <x:v>0</x:v>
      </x:c>
      <x:c r="H19" s="34" t="n">
        <x:f>IFERROR($B19/100*VLOOKUP($A19,IngredientDB!$C:$I,7,FALSE),0)</x:f>
        <x:v>0</x:v>
      </x:c>
      <x:c r="I19" s="8" t="str">
        <x:f>IFERROR(VLOOKUP($A19,IngredientDB!$C:$K,9,FALSE),"")</x:f>
      </x:c>
    </x:row>
    <x:row r="20">
      <x:c r="A20" s="8" t="str"/>
      <x:c r="B20" s="8"/>
      <x:c r="C20" s="8" t="str">
        <x:f>IFERROR(VLOOKUP($A20,IngredientDB!$C:$K,2,FALSE),"")</x:f>
      </x:c>
      <x:c r="D20" s="34" t="n">
        <x:f>IFERROR($B20/100*VLOOKUP($A20,IngredientDB!$C:$I,3,FALSE),0)</x:f>
        <x:v>0</x:v>
      </x:c>
      <x:c r="E20" s="34" t="n">
        <x:f>IFERROR($B20/100*VLOOKUP($A20,IngredientDB!$C:$I,4,FALSE),0)</x:f>
        <x:v>0</x:v>
      </x:c>
      <x:c r="F20" s="34" t="n">
        <x:f>IFERROR($B20/100*VLOOKUP($A20,IngredientDB!$C:$I,5,FALSE),0)</x:f>
        <x:v>0</x:v>
      </x:c>
      <x:c r="G20" s="34" t="n">
        <x:f>IFERROR($B20/100*VLOOKUP($A20,IngredientDB!$C:$I,6,FALSE),0)</x:f>
        <x:v>0</x:v>
      </x:c>
      <x:c r="H20" s="34" t="n">
        <x:f>IFERROR($B20/100*VLOOKUP($A20,IngredientDB!$C:$I,7,FALSE),0)</x:f>
        <x:v>0</x:v>
      </x:c>
      <x:c r="I20" s="8" t="str">
        <x:f>IFERROR(VLOOKUP($A20,IngredientDB!$C:$K,9,FALSE),"")</x:f>
      </x:c>
    </x:row>
    <x:row r="21">
      <x:c r="A21" s="8" t="str"/>
      <x:c r="B21" s="8"/>
      <x:c r="C21" s="8" t="str">
        <x:f>IFERROR(VLOOKUP($A21,IngredientDB!$C:$K,2,FALSE),"")</x:f>
      </x:c>
      <x:c r="D21" s="34" t="n">
        <x:f>IFERROR($B21/100*VLOOKUP($A21,IngredientDB!$C:$I,3,FALSE),0)</x:f>
        <x:v>0</x:v>
      </x:c>
      <x:c r="E21" s="34" t="n">
        <x:f>IFERROR($B21/100*VLOOKUP($A21,IngredientDB!$C:$I,4,FALSE),0)</x:f>
        <x:v>0</x:v>
      </x:c>
      <x:c r="F21" s="34" t="n">
        <x:f>IFERROR($B21/100*VLOOKUP($A21,IngredientDB!$C:$I,5,FALSE),0)</x:f>
        <x:v>0</x:v>
      </x:c>
      <x:c r="G21" s="34" t="n">
        <x:f>IFERROR($B21/100*VLOOKUP($A21,IngredientDB!$C:$I,6,FALSE),0)</x:f>
        <x:v>0</x:v>
      </x:c>
      <x:c r="H21" s="34" t="n">
        <x:f>IFERROR($B21/100*VLOOKUP($A21,IngredientDB!$C:$I,7,FALSE),0)</x:f>
        <x:v>0</x:v>
      </x:c>
      <x:c r="I21" s="8" t="str">
        <x:f>IFERROR(VLOOKUP($A21,IngredientDB!$C:$K,9,FALSE),"")</x:f>
      </x:c>
    </x:row>
    <x:row r="22">
      <x:c r="A22" s="8" t="str"/>
      <x:c r="B22" s="8"/>
      <x:c r="C22" s="8" t="str">
        <x:f>IFERROR(VLOOKUP($A22,IngredientDB!$C:$K,2,FALSE),"")</x:f>
      </x:c>
      <x:c r="D22" s="34" t="n">
        <x:f>IFERROR($B22/100*VLOOKUP($A22,IngredientDB!$C:$I,3,FALSE),0)</x:f>
        <x:v>0</x:v>
      </x:c>
      <x:c r="E22" s="34" t="n">
        <x:f>IFERROR($B22/100*VLOOKUP($A22,IngredientDB!$C:$I,4,FALSE),0)</x:f>
        <x:v>0</x:v>
      </x:c>
      <x:c r="F22" s="34" t="n">
        <x:f>IFERROR($B22/100*VLOOKUP($A22,IngredientDB!$C:$I,5,FALSE),0)</x:f>
        <x:v>0</x:v>
      </x:c>
      <x:c r="G22" s="34" t="n">
        <x:f>IFERROR($B22/100*VLOOKUP($A22,IngredientDB!$C:$I,6,FALSE),0)</x:f>
        <x:v>0</x:v>
      </x:c>
      <x:c r="H22" s="34" t="n">
        <x:f>IFERROR($B22/100*VLOOKUP($A22,IngredientDB!$C:$I,7,FALSE),0)</x:f>
        <x:v>0</x:v>
      </x:c>
      <x:c r="I22" s="8" t="str">
        <x:f>IFERROR(VLOOKUP($A22,IngredientDB!$C:$K,9,FALSE),"")</x:f>
      </x:c>
    </x:row>
    <x:row r="23">
      <x:c r="A23" s="8" t="str"/>
      <x:c r="B23" s="8"/>
      <x:c r="C23" s="8" t="str">
        <x:f>IFERROR(VLOOKUP($A23,IngredientDB!$C:$K,2,FALSE),"")</x:f>
      </x:c>
      <x:c r="D23" s="34" t="n">
        <x:f>IFERROR($B23/100*VLOOKUP($A23,IngredientDB!$C:$I,3,FALSE),0)</x:f>
        <x:v>0</x:v>
      </x:c>
      <x:c r="E23" s="34" t="n">
        <x:f>IFERROR($B23/100*VLOOKUP($A23,IngredientDB!$C:$I,4,FALSE),0)</x:f>
        <x:v>0</x:v>
      </x:c>
      <x:c r="F23" s="34" t="n">
        <x:f>IFERROR($B23/100*VLOOKUP($A23,IngredientDB!$C:$I,5,FALSE),0)</x:f>
        <x:v>0</x:v>
      </x:c>
      <x:c r="G23" s="34" t="n">
        <x:f>IFERROR($B23/100*VLOOKUP($A23,IngredientDB!$C:$I,6,FALSE),0)</x:f>
        <x:v>0</x:v>
      </x:c>
      <x:c r="H23" s="34" t="n">
        <x:f>IFERROR($B23/100*VLOOKUP($A23,IngredientDB!$C:$I,7,FALSE),0)</x:f>
        <x:v>0</x:v>
      </x:c>
      <x:c r="I23" s="8" t="str">
        <x:f>IFERROR(VLOOKUP($A23,IngredientDB!$C:$K,9,FALSE),"")</x:f>
      </x:c>
    </x:row>
    <x:row r="24">
      <x:c r="A24" s="8" t="str"/>
      <x:c r="B24" s="8"/>
      <x:c r="C24" s="8" t="str">
        <x:f>IFERROR(VLOOKUP($A24,IngredientDB!$C:$K,2,FALSE),"")</x:f>
      </x:c>
      <x:c r="D24" s="34" t="n">
        <x:f>IFERROR($B24/100*VLOOKUP($A24,IngredientDB!$C:$I,3,FALSE),0)</x:f>
        <x:v>0</x:v>
      </x:c>
      <x:c r="E24" s="34" t="n">
        <x:f>IFERROR($B24/100*VLOOKUP($A24,IngredientDB!$C:$I,4,FALSE),0)</x:f>
        <x:v>0</x:v>
      </x:c>
      <x:c r="F24" s="34" t="n">
        <x:f>IFERROR($B24/100*VLOOKUP($A24,IngredientDB!$C:$I,5,FALSE),0)</x:f>
        <x:v>0</x:v>
      </x:c>
      <x:c r="G24" s="34" t="n">
        <x:f>IFERROR($B24/100*VLOOKUP($A24,IngredientDB!$C:$I,6,FALSE),0)</x:f>
        <x:v>0</x:v>
      </x:c>
      <x:c r="H24" s="34" t="n">
        <x:f>IFERROR($B24/100*VLOOKUP($A24,IngredientDB!$C:$I,7,FALSE),0)</x:f>
        <x:v>0</x:v>
      </x:c>
      <x:c r="I24" s="8" t="str">
        <x:f>IFERROR(VLOOKUP($A24,IngredientDB!$C:$K,9,FALSE),"")</x:f>
      </x:c>
    </x:row>
    <x:row r="25">
      <x:c r="A25" s="8" t="str"/>
      <x:c r="B25" s="8"/>
      <x:c r="C25" s="8" t="str">
        <x:f>IFERROR(VLOOKUP($A25,IngredientDB!$C:$K,2,FALSE),"")</x:f>
      </x:c>
      <x:c r="D25" s="34" t="n">
        <x:f>IFERROR($B25/100*VLOOKUP($A25,IngredientDB!$C:$I,3,FALSE),0)</x:f>
        <x:v>0</x:v>
      </x:c>
      <x:c r="E25" s="34" t="n">
        <x:f>IFERROR($B25/100*VLOOKUP($A25,IngredientDB!$C:$I,4,FALSE),0)</x:f>
        <x:v>0</x:v>
      </x:c>
      <x:c r="F25" s="34" t="n">
        <x:f>IFERROR($B25/100*VLOOKUP($A25,IngredientDB!$C:$I,5,FALSE),0)</x:f>
        <x:v>0</x:v>
      </x:c>
      <x:c r="G25" s="34" t="n">
        <x:f>IFERROR($B25/100*VLOOKUP($A25,IngredientDB!$C:$I,6,FALSE),0)</x:f>
        <x:v>0</x:v>
      </x:c>
      <x:c r="H25" s="34" t="n">
        <x:f>IFERROR($B25/100*VLOOKUP($A25,IngredientDB!$C:$I,7,FALSE),0)</x:f>
        <x:v>0</x:v>
      </x:c>
      <x:c r="I25" s="8" t="str">
        <x:f>IFERROR(VLOOKUP($A25,IngredientDB!$C:$K,9,FALSE),"")</x:f>
      </x:c>
    </x:row>
    <x:row r="26">
      <x:c r="A26" s="8" t="str"/>
      <x:c r="B26" s="8"/>
      <x:c r="C26" s="8" t="str">
        <x:f>IFERROR(VLOOKUP($A26,IngredientDB!$C:$K,2,FALSE),"")</x:f>
      </x:c>
      <x:c r="D26" s="34" t="n">
        <x:f>IFERROR($B26/100*VLOOKUP($A26,IngredientDB!$C:$I,3,FALSE),0)</x:f>
        <x:v>0</x:v>
      </x:c>
      <x:c r="E26" s="34" t="n">
        <x:f>IFERROR($B26/100*VLOOKUP($A26,IngredientDB!$C:$I,4,FALSE),0)</x:f>
        <x:v>0</x:v>
      </x:c>
      <x:c r="F26" s="34" t="n">
        <x:f>IFERROR($B26/100*VLOOKUP($A26,IngredientDB!$C:$I,5,FALSE),0)</x:f>
        <x:v>0</x:v>
      </x:c>
      <x:c r="G26" s="34" t="n">
        <x:f>IFERROR($B26/100*VLOOKUP($A26,IngredientDB!$C:$I,6,FALSE),0)</x:f>
        <x:v>0</x:v>
      </x:c>
      <x:c r="H26" s="34" t="n">
        <x:f>IFERROR($B26/100*VLOOKUP($A26,IngredientDB!$C:$I,7,FALSE),0)</x:f>
        <x:v>0</x:v>
      </x:c>
      <x:c r="I26" s="8" t="str">
        <x:f>IFERROR(VLOOKUP($A26,IngredientDB!$C:$K,9,FALSE),"")</x:f>
      </x:c>
    </x:row>
    <x:row r="27">
      <x:c r="A27" s="8" t="str"/>
      <x:c r="B27" s="8"/>
      <x:c r="C27" s="8" t="str">
        <x:f>IFERROR(VLOOKUP($A27,IngredientDB!$C:$K,2,FALSE),"")</x:f>
      </x:c>
      <x:c r="D27" s="34" t="n">
        <x:f>IFERROR($B27/100*VLOOKUP($A27,IngredientDB!$C:$I,3,FALSE),0)</x:f>
        <x:v>0</x:v>
      </x:c>
      <x:c r="E27" s="34" t="n">
        <x:f>IFERROR($B27/100*VLOOKUP($A27,IngredientDB!$C:$I,4,FALSE),0)</x:f>
        <x:v>0</x:v>
      </x:c>
      <x:c r="F27" s="34" t="n">
        <x:f>IFERROR($B27/100*VLOOKUP($A27,IngredientDB!$C:$I,5,FALSE),0)</x:f>
        <x:v>0</x:v>
      </x:c>
      <x:c r="G27" s="34" t="n">
        <x:f>IFERROR($B27/100*VLOOKUP($A27,IngredientDB!$C:$I,6,FALSE),0)</x:f>
        <x:v>0</x:v>
      </x:c>
      <x:c r="H27" s="34" t="n">
        <x:f>IFERROR($B27/100*VLOOKUP($A27,IngredientDB!$C:$I,7,FALSE),0)</x:f>
        <x:v>0</x:v>
      </x:c>
      <x:c r="I27" s="8" t="str">
        <x:f>IFERROR(VLOOKUP($A27,IngredientDB!$C:$K,9,FALSE),"")</x:f>
      </x:c>
    </x:row>
    <x:row r="28">
      <x:c r="A28" s="8" t="str"/>
      <x:c r="B28" s="8"/>
      <x:c r="C28" s="8" t="str">
        <x:f>IFERROR(VLOOKUP($A28,IngredientDB!$C:$K,2,FALSE),"")</x:f>
      </x:c>
      <x:c r="D28" s="34" t="n">
        <x:f>IFERROR($B28/100*VLOOKUP($A28,IngredientDB!$C:$I,3,FALSE),0)</x:f>
        <x:v>0</x:v>
      </x:c>
      <x:c r="E28" s="34" t="n">
        <x:f>IFERROR($B28/100*VLOOKUP($A28,IngredientDB!$C:$I,4,FALSE),0)</x:f>
        <x:v>0</x:v>
      </x:c>
      <x:c r="F28" s="34" t="n">
        <x:f>IFERROR($B28/100*VLOOKUP($A28,IngredientDB!$C:$I,5,FALSE),0)</x:f>
        <x:v>0</x:v>
      </x:c>
      <x:c r="G28" s="34" t="n">
        <x:f>IFERROR($B28/100*VLOOKUP($A28,IngredientDB!$C:$I,6,FALSE),0)</x:f>
        <x:v>0</x:v>
      </x:c>
      <x:c r="H28" s="34" t="n">
        <x:f>IFERROR($B28/100*VLOOKUP($A28,IngredientDB!$C:$I,7,FALSE),0)</x:f>
        <x:v>0</x:v>
      </x:c>
      <x:c r="I28" s="8" t="str">
        <x:f>IFERROR(VLOOKUP($A28,IngredientDB!$C:$K,9,FALSE),"")</x:f>
      </x:c>
    </x:row>
  </x:sheetData>
  <x:mergeCells>
    <x:mergeCell ref="A1:P1"/>
  </x:mergeCells>
  <x:dataValidations count="4">
    <x:dataValidation type="list" sqref="B3">
      <x:formula1>"水煮,蒸,烤,炒,炸"</x:formula1>
    </x:dataValidation>
    <x:dataValidation type="list" sqref="B4">
      <x:formula1>"無油,少油,一般,多油"</x:formula1>
    </x:dataValidation>
    <x:dataValidation type="list" sqref="B5">
      <x:formula1>"無,少,正常,多"</x:formula1>
    </x:dataValidation>
    <x:dataValidation type="list" sqref="A9:A28">
      <x:formula1>IngredientDB!$C$2:$C$516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lookup_key</x:v>
      </x:c>
      <x:c r="B1" s="14" t="str">
        <x:v>cooking_method</x:v>
      </x:c>
      <x:c r="C1" s="14" t="str">
        <x:v>oil_level</x:v>
      </x:c>
      <x:c r="D1" s="14" t="str">
        <x:v>oil_g_per_meal</x:v>
      </x:c>
      <x:c r="E1" s="14" t="str">
        <x:v>note</x:v>
      </x:c>
    </x:row>
    <x:row r="2">
      <x:c r="A2" t="str">
        <x:v>水煮|無油</x:v>
      </x:c>
      <x:c r="B2" t="str">
        <x:v>水煮</x:v>
      </x:c>
      <x:c r="C2" s="36" t="str">
        <x:v>無油</x:v>
      </x:c>
      <x:c r="D2" s="36" t="n">
        <x:v>0</x:v>
      </x:c>
      <x:c r="E2" t="str">
        <x:v>以整餐估算；實際依鍋具、吸油率、是否瀝油差異大</x:v>
      </x:c>
    </x:row>
    <x:row r="3">
      <x:c r="A3" t="str">
        <x:v>水煮|少油</x:v>
      </x:c>
      <x:c r="B3" t="str">
        <x:v>水煮</x:v>
      </x:c>
      <x:c r="C3" s="36" t="str">
        <x:v>少油</x:v>
      </x:c>
      <x:c r="D3" s="36" t="n">
        <x:v>0</x:v>
      </x:c>
      <x:c r="E3" t="str">
        <x:v>以整餐估算；實際依鍋具、吸油率、是否瀝油差異大</x:v>
      </x:c>
    </x:row>
    <x:row r="4">
      <x:c r="A4" t="str">
        <x:v>水煮|一般</x:v>
      </x:c>
      <x:c r="B4" t="str">
        <x:v>水煮</x:v>
      </x:c>
      <x:c r="C4" s="36" t="str">
        <x:v>一般</x:v>
      </x:c>
      <x:c r="D4" s="36" t="n">
        <x:v>0</x:v>
      </x:c>
      <x:c r="E4" t="str">
        <x:v>以整餐估算；實際依鍋具、吸油率、是否瀝油差異大</x:v>
      </x:c>
    </x:row>
    <x:row r="5">
      <x:c r="A5" t="str">
        <x:v>水煮|多油</x:v>
      </x:c>
      <x:c r="B5" t="str">
        <x:v>水煮</x:v>
      </x:c>
      <x:c r="C5" s="36" t="str">
        <x:v>多油</x:v>
      </x:c>
      <x:c r="D5" s="36" t="n">
        <x:v>0</x:v>
      </x:c>
      <x:c r="E5" t="str">
        <x:v>以整餐估算；實際依鍋具、吸油率、是否瀝油差異大</x:v>
      </x:c>
    </x:row>
    <x:row r="6">
      <x:c r="A6" t="str">
        <x:v>蒸|無油</x:v>
      </x:c>
      <x:c r="B6" t="str">
        <x:v>蒸</x:v>
      </x:c>
      <x:c r="C6" s="36" t="str">
        <x:v>無油</x:v>
      </x:c>
      <x:c r="D6" s="36" t="n">
        <x:v>0</x:v>
      </x:c>
      <x:c r="E6" t="str">
        <x:v>以整餐估算；實際依鍋具、吸油率、是否瀝油差異大</x:v>
      </x:c>
    </x:row>
    <x:row r="7">
      <x:c r="A7" t="str">
        <x:v>蒸|少油</x:v>
      </x:c>
      <x:c r="B7" t="str">
        <x:v>蒸</x:v>
      </x:c>
      <x:c r="C7" s="36" t="str">
        <x:v>少油</x:v>
      </x:c>
      <x:c r="D7" s="36" t="n">
        <x:v>0</x:v>
      </x:c>
      <x:c r="E7" t="str">
        <x:v>以整餐估算；實際依鍋具、吸油率、是否瀝油差異大</x:v>
      </x:c>
    </x:row>
    <x:row r="8">
      <x:c r="A8" t="str">
        <x:v>蒸|一般</x:v>
      </x:c>
      <x:c r="B8" t="str">
        <x:v>蒸</x:v>
      </x:c>
      <x:c r="C8" s="36" t="str">
        <x:v>一般</x:v>
      </x:c>
      <x:c r="D8" s="36" t="n">
        <x:v>0</x:v>
      </x:c>
      <x:c r="E8" t="str">
        <x:v>以整餐估算；實際依鍋具、吸油率、是否瀝油差異大</x:v>
      </x:c>
    </x:row>
    <x:row r="9">
      <x:c r="A9" t="str">
        <x:v>蒸|多油</x:v>
      </x:c>
      <x:c r="B9" t="str">
        <x:v>蒸</x:v>
      </x:c>
      <x:c r="C9" s="36" t="str">
        <x:v>多油</x:v>
      </x:c>
      <x:c r="D9" s="36" t="n">
        <x:v>0</x:v>
      </x:c>
      <x:c r="E9" t="str">
        <x:v>以整餐估算；實際依鍋具、吸油率、是否瀝油差異大</x:v>
      </x:c>
    </x:row>
    <x:row r="10">
      <x:c r="A10" t="str">
        <x:v>烤|無油</x:v>
      </x:c>
      <x:c r="B10" t="str">
        <x:v>烤</x:v>
      </x:c>
      <x:c r="C10" s="36" t="str">
        <x:v>無油</x:v>
      </x:c>
      <x:c r="D10" s="36" t="n">
        <x:v>0</x:v>
      </x:c>
      <x:c r="E10" t="str">
        <x:v>以整餐估算；實際依鍋具、吸油率、是否瀝油差異大</x:v>
      </x:c>
    </x:row>
    <x:row r="11">
      <x:c r="A11" t="str">
        <x:v>烤|少油</x:v>
      </x:c>
      <x:c r="B11" t="str">
        <x:v>烤</x:v>
      </x:c>
      <x:c r="C11" s="36" t="str">
        <x:v>少油</x:v>
      </x:c>
      <x:c r="D11" s="36" t="n">
        <x:v>3</x:v>
      </x:c>
      <x:c r="E11" t="str">
        <x:v>以整餐估算；實際依鍋具、吸油率、是否瀝油差異大</x:v>
      </x:c>
    </x:row>
    <x:row r="12">
      <x:c r="A12" t="str">
        <x:v>烤|一般</x:v>
      </x:c>
      <x:c r="B12" t="str">
        <x:v>烤</x:v>
      </x:c>
      <x:c r="C12" s="36" t="str">
        <x:v>一般</x:v>
      </x:c>
      <x:c r="D12" s="36" t="n">
        <x:v>6</x:v>
      </x:c>
      <x:c r="E12" t="str">
        <x:v>以整餐估算；實際依鍋具、吸油率、是否瀝油差異大</x:v>
      </x:c>
    </x:row>
    <x:row r="13">
      <x:c r="A13" t="str">
        <x:v>烤|多油</x:v>
      </x:c>
      <x:c r="B13" t="str">
        <x:v>烤</x:v>
      </x:c>
      <x:c r="C13" s="36" t="str">
        <x:v>多油</x:v>
      </x:c>
      <x:c r="D13" s="36" t="n">
        <x:v>10</x:v>
      </x:c>
      <x:c r="E13" t="str">
        <x:v>以整餐估算；實際依鍋具、吸油率、是否瀝油差異大</x:v>
      </x:c>
    </x:row>
    <x:row r="14">
      <x:c r="A14" t="str">
        <x:v>炒|無油</x:v>
      </x:c>
      <x:c r="B14" t="str">
        <x:v>炒</x:v>
      </x:c>
      <x:c r="C14" s="36" t="str">
        <x:v>無油</x:v>
      </x:c>
      <x:c r="D14" s="36" t="n">
        <x:v>0</x:v>
      </x:c>
      <x:c r="E14" t="str">
        <x:v>以整餐估算；實際依鍋具、吸油率、是否瀝油差異大</x:v>
      </x:c>
    </x:row>
    <x:row r="15">
      <x:c r="A15" t="str">
        <x:v>炒|少油</x:v>
      </x:c>
      <x:c r="B15" t="str">
        <x:v>炒</x:v>
      </x:c>
      <x:c r="C15" s="36" t="str">
        <x:v>少油</x:v>
      </x:c>
      <x:c r="D15" s="36" t="n">
        <x:v>5</x:v>
      </x:c>
      <x:c r="E15" t="str">
        <x:v>以整餐估算；實際依鍋具、吸油率、是否瀝油差異大</x:v>
      </x:c>
    </x:row>
    <x:row r="16">
      <x:c r="A16" t="str">
        <x:v>炒|一般</x:v>
      </x:c>
      <x:c r="B16" t="str">
        <x:v>炒</x:v>
      </x:c>
      <x:c r="C16" s="36" t="str">
        <x:v>一般</x:v>
      </x:c>
      <x:c r="D16" s="36" t="n">
        <x:v>10</x:v>
      </x:c>
      <x:c r="E16" t="str">
        <x:v>以整餐估算；實際依鍋具、吸油率、是否瀝油差異大</x:v>
      </x:c>
    </x:row>
    <x:row r="17">
      <x:c r="A17" t="str">
        <x:v>炒|多油</x:v>
      </x:c>
      <x:c r="B17" t="str">
        <x:v>炒</x:v>
      </x:c>
      <x:c r="C17" s="36" t="str">
        <x:v>多油</x:v>
      </x:c>
      <x:c r="D17" s="36" t="n">
        <x:v>18</x:v>
      </x:c>
      <x:c r="E17" t="str">
        <x:v>以整餐估算；實際依鍋具、吸油率、是否瀝油差異大</x:v>
      </x:c>
    </x:row>
    <x:row r="18">
      <x:c r="A18" t="str">
        <x:v>炸|無油</x:v>
      </x:c>
      <x:c r="B18" t="str">
        <x:v>炸</x:v>
      </x:c>
      <x:c r="C18" s="36" t="str">
        <x:v>無油</x:v>
      </x:c>
      <x:c r="D18" s="36" t="n">
        <x:v>0</x:v>
      </x:c>
      <x:c r="E18" t="str">
        <x:v>以整餐估算；實際依鍋具、吸油率、是否瀝油差異大</x:v>
      </x:c>
    </x:row>
    <x:row r="19">
      <x:c r="A19" t="str">
        <x:v>炸|少油</x:v>
      </x:c>
      <x:c r="B19" t="str">
        <x:v>炸</x:v>
      </x:c>
      <x:c r="C19" s="36" t="str">
        <x:v>少油</x:v>
      </x:c>
      <x:c r="D19" s="36" t="n">
        <x:v>10</x:v>
      </x:c>
      <x:c r="E19" t="str">
        <x:v>以整餐估算；實際依鍋具、吸油率、是否瀝油差異大</x:v>
      </x:c>
    </x:row>
    <x:row r="20">
      <x:c r="A20" t="str">
        <x:v>炸|一般</x:v>
      </x:c>
      <x:c r="B20" t="str">
        <x:v>炸</x:v>
      </x:c>
      <x:c r="C20" s="36" t="str">
        <x:v>一般</x:v>
      </x:c>
      <x:c r="D20" s="36" t="n">
        <x:v>20</x:v>
      </x:c>
      <x:c r="E20" t="str">
        <x:v>以整餐估算；實際依鍋具、吸油率、是否瀝油差異大</x:v>
      </x:c>
    </x:row>
    <x:row r="21">
      <x:c r="A21" t="str">
        <x:v>炸|多油</x:v>
      </x:c>
      <x:c r="B21" t="str">
        <x:v>炸</x:v>
      </x:c>
      <x:c r="C21" s="36" t="str">
        <x:v>多油</x:v>
      </x:c>
      <x:c r="D21" s="36" t="n">
        <x:v>35</x:v>
      </x:c>
      <x:c r="E21" t="str">
        <x:v>以整餐估算；實際依鍋具、吸油率、是否瀝油差異大</x:v>
      </x:c>
    </x:row>
    <x:row r="22">
      <x:c r="C22" s="36"/>
      <x:c r="D22" s="36"/>
    </x:row>
    <x:row r="23">
      <x:c r="C23" s="36"/>
      <x:c r="D23" s="36"/>
    </x:row>
    <x:row r="24">
      <x:c r="C24" s="36"/>
      <x:c r="D24" s="36"/>
    </x:row>
    <x:row r="25">
      <x:c r="C25" s="36"/>
      <x:c r="D25" s="36"/>
    </x:row>
    <x:row r="26">
      <x:c r="C26" s="36"/>
      <x:c r="D26" s="36"/>
    </x:row>
    <x:row r="27">
      <x:c r="C27" s="36"/>
      <x:c r="D27" s="36"/>
    </x:row>
    <x:row r="28">
      <x:c r="C28" s="36"/>
      <x:c r="D28" s="36"/>
    </x:row>
    <x:row r="29">
      <x:c r="C29" s="36"/>
      <x:c r="D29" s="36"/>
    </x:row>
    <x:row r="30">
      <x:c r="C30" s="36"/>
      <x:c r="D30" s="36"/>
    </x:row>
  </x:sheetData>
  <x:pageMargins left="0.7" right="0.7" top="0.75" bottom="0.75" header="0.3" footer="0.3"/>
  <x:tableParts count="1">
    <x:tablePart xmlns:r="http://schemas.openxmlformats.org/officeDocument/2006/relationships" r:id="Rc2149205994b43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4" t="str">
        <x:v>sauce_level</x:v>
      </x:c>
      <x:c r="B1" s="14" t="str">
        <x:v>kcal</x:v>
      </x:c>
      <x:c r="C1" s="14" t="str">
        <x:v>protein_g</x:v>
      </x:c>
      <x:c r="D1" s="14" t="str">
        <x:v>fat_g</x:v>
      </x:c>
      <x:c r="E1" s="14" t="str">
        <x:v>carb_g</x:v>
      </x:c>
      <x:c r="F1" s="14" t="str">
        <x:v>sodium_mg</x:v>
      </x:c>
      <x:c r="G1" s="14" t="str">
        <x:v>note</x:v>
      </x:c>
    </x:row>
    <x:row r="2">
      <x:c r="A2" t="str">
        <x:v>無</x:v>
      </x:c>
      <x:c r="B2" s="36" t="n">
        <x:v>0</x:v>
      </x:c>
      <x:c r="C2" s="36" t="n">
        <x:v>0</x:v>
      </x:c>
      <x:c r="D2" s="36" t="n">
        <x:v>0</x:v>
      </x:c>
      <x:c r="E2" s="36" t="n">
        <x:v>0</x:v>
      </x:c>
      <x:c r="F2" s="36" t="n">
        <x:v>0</x:v>
      </x:c>
      <x:c r="G2" t="str">
        <x:v>不加醬/不喝湯汁</x:v>
      </x:c>
    </x:row>
    <x:row r="3">
      <x:c r="A3" t="str">
        <x:v>少</x:v>
      </x:c>
      <x:c r="B3" s="36" t="n">
        <x:v>15</x:v>
      </x:c>
      <x:c r="C3" s="36" t="n">
        <x:v>0.5</x:v>
      </x:c>
      <x:c r="D3" s="36" t="n">
        <x:v>0.2</x:v>
      </x:c>
      <x:c r="E3" s="36" t="n">
        <x:v>3</x:v>
      </x:c>
      <x:c r="F3" s="36" t="n">
        <x:v>250</x:v>
      </x:c>
      <x:c r="G3" t="str">
        <x:v>薄薄一層醬油/滷汁/便當醬</x:v>
      </x:c>
    </x:row>
    <x:row r="4">
      <x:c r="A4" t="str">
        <x:v>正常</x:v>
      </x:c>
      <x:c r="B4" s="36" t="n">
        <x:v>40</x:v>
      </x:c>
      <x:c r="C4" s="36" t="n">
        <x:v>1</x:v>
      </x:c>
      <x:c r="D4" s="36" t="n">
        <x:v>0.5</x:v>
      </x:c>
      <x:c r="E4" s="36" t="n">
        <x:v>8</x:v>
      </x:c>
      <x:c r="F4" s="36" t="n">
        <x:v>650</x:v>
      </x:c>
      <x:c r="G4" t="str">
        <x:v>一般外食醬汁量</x:v>
      </x:c>
    </x:row>
    <x:row r="5">
      <x:c r="A5" t="str">
        <x:v>多</x:v>
      </x:c>
      <x:c r="B5" s="36" t="n">
        <x:v>80</x:v>
      </x:c>
      <x:c r="C5" s="36" t="n">
        <x:v>2</x:v>
      </x:c>
      <x:c r="D5" s="36" t="n">
        <x:v>1</x:v>
      </x:c>
      <x:c r="E5" s="36" t="n">
        <x:v>16</x:v>
      </x:c>
      <x:c r="F5" s="36" t="n">
        <x:v>1300</x:v>
      </x:c>
      <x:c r="G5" t="str">
        <x:v>大量醬汁、滷汁、勾芡、甜醬</x:v>
      </x:c>
    </x:row>
    <x:row r="6">
      <x:c r="B6" s="36"/>
      <x:c r="C6" s="36"/>
      <x:c r="D6" s="36"/>
      <x:c r="E6" s="36"/>
      <x:c r="F6" s="36"/>
    </x:row>
    <x:row r="7">
      <x:c r="B7" s="36"/>
      <x:c r="C7" s="36"/>
      <x:c r="D7" s="36"/>
      <x:c r="E7" s="36"/>
      <x:c r="F7" s="36"/>
    </x:row>
    <x:row r="8">
      <x:c r="B8" s="36"/>
      <x:c r="C8" s="36"/>
      <x:c r="D8" s="36"/>
      <x:c r="E8" s="36"/>
      <x:c r="F8" s="36"/>
    </x:row>
    <x:row r="9">
      <x:c r="B9" s="36"/>
      <x:c r="C9" s="36"/>
      <x:c r="D9" s="36"/>
      <x:c r="E9" s="36"/>
      <x:c r="F9" s="36"/>
    </x:row>
    <x:row r="10">
      <x:c r="B10" s="36"/>
      <x:c r="C10" s="36"/>
      <x:c r="D10" s="36"/>
      <x:c r="E10" s="36"/>
      <x:c r="F10" s="36"/>
    </x:row>
  </x:sheetData>
  <x:pageMargins left="0.7" right="0.7" top="0.75" bottom="0.75" header="0.3" footer="0.3"/>
  <x:tableParts count="1">
    <x:tablePart xmlns:r="http://schemas.openxmlformats.org/officeDocument/2006/relationships" r:id="Rb93719389ee844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14" t="str">
        <x:v>主題</x:v>
      </x:c>
      <x:c r="B1" s="14" t="str">
        <x:v>內容</x:v>
      </x:c>
    </x:row>
    <x:row r="2">
      <x:c r="A2" s="8" t="str">
        <x:v>資料來源</x:v>
      </x:c>
      <x:c r="B2" s="8" t="str">
        <x:v>以台灣食藥署「台灣地區食品營養成分資料庫」與 USDA FoodData Central 作為基礎來源；本表是 MVP 可用的常見原形食物 baseline，正式上線建議逐列綁定官方 food_id。</x:v>
      </x:c>
    </x:row>
    <x:row r="3">
      <x:c r="A3" s="8" t="str">
        <x:v>每 100g 基準</x:v>
      </x:c>
      <x:c r="B3" s="8" t="str">
        <x:v>所有食材以 100g 可食部為單位；熱量 kcal、蛋白質/脂肪/碳水 g、鈉 mg。</x:v>
      </x:c>
    </x:row>
    <x:row r="4">
      <x:c r="A4" s="8" t="str">
        <x:v>用戶輸入重量</x:v>
      </x:c>
      <x:c r="B4" s="8" t="str">
        <x:v>建議定義為「入口前盤中重量/熟重」。若用戶輸入生重，請選擇生重版本或另建 raw DB。</x:v>
      </x:c>
    </x:row>
    <x:row r="5">
      <x:c r="A5" s="8" t="str">
        <x:v>烹調方式</x:v>
      </x:c>
      <x:c r="B5" s="8" t="str">
        <x:v>MVP 中烹調方式本身不改變營養素，只透過 Oil_Rules 加上整餐用油。水煮/蒸通常 0g 油；烤/炒/炸依少油/一般/多油估算。</x:v>
      </x:c>
    </x:row>
    <x:row r="6">
      <x:c r="A6" s="8" t="str">
        <x:v>醬汁</x:v>
      </x:c>
      <x:c r="B6" s="8" t="str">
        <x:v>Sauce_Rules 是台式外食泛用估算。若要更準，下一版加 sauce_type：清醬油、甜辣醬、滷汁、勾芡、美乃滋/油醬。</x:v>
      </x:c>
    </x:row>
    <x:row r="7">
      <x:c r="A7" s="8" t="str">
        <x:v>公式</x:v>
      </x:c>
      <x:c r="B7" s="8" t="str">
        <x:v>基礎營養 = 食材重量g / 100 × 該食材每100g營養；油 kcal = 油g × 9；油脂肪 = 油g；醬汁依等級加成。</x:v>
      </x:c>
    </x:row>
    <x:row r="8">
      <x:c r="A8" s="8" t="str">
        <x:v>鈉</x:v>
      </x:c>
      <x:c r="B8" s="8" t="str">
        <x:v>原形食物鈉通常低；外食鈉主要來自醬汁、鹽、滷汁、湯汁，因此鈉的準確度取決於 Sauce_Rules。</x:v>
      </x:c>
    </x:row>
    <x:row r="9">
      <x:c r="A9" s="8" t="str">
        <x:v>資料庫 URL</x:v>
      </x:c>
      <x:c r="B9" s="8" t="str">
        <x:v>Taiwan FDA: https://www.fda.gov.tw/tc/siteList.aspx?sid=284</x:v>
      </x:c>
    </x:row>
    <x:row r="10">
      <x:c r="A10" s="8" t="str">
        <x:v>資料庫 URL</x:v>
      </x:c>
      <x:c r="B10" s="8" t="str">
        <x:v>USDA FoodData Central: https://fdc.nal.usda.gov/</x:v>
      </x:c>
    </x:row>
    <x:row r="11">
      <x:c r="A11" s="8" t="str">
        <x:v>營養標示口徑</x:v>
      </x:c>
      <x:c r="B11" s="8" t="str">
        <x:v>台灣包裝食品營養標示常用每份與每100公克/毫升標示；App DB 使用每100g較適合換算。</x:v>
      </x:c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4" max="4" width="16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2" t="str">
        <x:v>BetterBit IngredientDB 擴增摘要</x:v>
      </x:c>
    </x:row>
    <x:row r="3">
      <x:c r="A3" s="45" t="str">
        <x:v>項目</x:v>
      </x:c>
      <x:c r="B3" s="45" t="str">
        <x:v>數值</x:v>
      </x:c>
      <x:c r="D3" s="45" t="str">
        <x:v>欄位說明</x:v>
      </x:c>
      <x:c r="E3"/>
      <x:c r="F3"/>
      <x:c r="G3"/>
      <x:c r="H3"/>
    </x:row>
    <x:row r="4">
      <x:c r="A4" s="53" t="str">
        <x:v>原始食材數</x:v>
      </x:c>
      <x:c r="B4" t="n">
        <x:v>103</x:v>
      </x:c>
      <x:c r="D4" s="8" t="str">
        <x:v>food_id</x:v>
      </x:c>
      <x:c r="E4" s="8" t="str">
        <x:v>食材唯一 ID；同一食物不同狀態可分開</x:v>
      </x:c>
      <x:c r="F4" s="8"/>
      <x:c r="G4" s="8"/>
      <x:c r="H4" s="8"/>
    </x:row>
    <x:row r="5">
      <x:c r="A5" s="53" t="str">
        <x:v>新增食材數</x:v>
      </x:c>
      <x:c r="B5" t="n">
        <x:v>412</x:v>
      </x:c>
      <x:c r="D5" s="8" t="str">
        <x:v>state</x:v>
      </x:c>
      <x:c r="E5" s="8" t="str">
        <x:v>生/熟/乾/液體等口徑，避免重量混淆</x:v>
      </x:c>
      <x:c r="F5" s="8"/>
      <x:c r="G5" s="8"/>
      <x:c r="H5" s="8"/>
    </x:row>
    <x:row r="6">
      <x:c r="A6" s="53" t="str">
        <x:v>目前食材總數</x:v>
      </x:c>
      <x:c r="B6" t="n">
        <x:v>515</x:v>
      </x:c>
      <x:c r="D6" s="8" t="str">
        <x:v>source_url</x:v>
      </x:c>
      <x:c r="E6" s="8" t="str">
        <x:v>官方資料來源入口；單筆仍需產品化前校正</x:v>
      </x:c>
      <x:c r="F6" s="8"/>
      <x:c r="G6" s="8"/>
      <x:c r="H6" s="8"/>
    </x:row>
    <x:row r="7">
      <x:c r="A7" s="53" t="str">
        <x:v>資料口徑</x:v>
      </x:c>
      <x:c r="B7" s="8" t="str">
        <x:v>每 100g / 100ml 可食部；烹調油與醬汁另算</x:v>
      </x:c>
      <x:c r="D7" s="8" t="str">
        <x:v>note</x:v>
      </x:c>
      <x:c r="E7" s="8" t="str">
        <x:v>品牌/含水/鈉/加工差異提醒</x:v>
      </x:c>
      <x:c r="F7" s="8"/>
      <x:c r="G7" s="8"/>
      <x:c r="H7" s="8"/>
    </x:row>
    <x:row r="8">
      <x:c r="D8" s="8" t="str">
        <x:v>MVP 規則</x:v>
      </x:c>
      <x:c r="E8" s="8" t="str">
        <x:v>食材本體 + 用油規則 + 醬汁規則 = 乾餐營養素</x:v>
      </x:c>
      <x:c r="F8" s="8"/>
      <x:c r="G8" s="8"/>
      <x:c r="H8" s="8"/>
    </x:row>
    <x:row r="12">
      <x:c r="A12" s="45" t="str">
        <x:v>category</x:v>
      </x:c>
      <x:c r="B12" s="45" t="str">
        <x:v>count_in_IngredientDB</x:v>
      </x:c>
    </x:row>
    <x:row r="13">
      <x:c r="A13" t="str">
        <x:v>主食/澱粉</x:v>
      </x:c>
      <x:c r="B13" t="n">
        <x:f>COUNTIF(IngredientDB!$B:$B,A13)</x:f>
        <x:v>70</x:v>
      </x:c>
    </x:row>
    <x:row r="14">
      <x:c r="A14" t="str">
        <x:v>乳品</x:v>
      </x:c>
      <x:c r="B14" t="n">
        <x:f>COUNTIF(IngredientDB!$B:$B,A14)</x:f>
        <x:v>19</x:v>
      </x:c>
    </x:row>
    <x:row r="15">
      <x:c r="A15" t="str">
        <x:v>其他原形/常用</x:v>
      </x:c>
      <x:c r="B15" t="n">
        <x:f>COUNTIF(IngredientDB!$B:$B,A15)</x:f>
        <x:v>13</x:v>
      </x:c>
    </x:row>
    <x:row r="16">
      <x:c r="A16" t="str">
        <x:v>堅果/種子</x:v>
      </x:c>
      <x:c r="B16" t="n">
        <x:f>COUNTIF(IngredientDB!$B:$B,A16)</x:f>
        <x:v>27</x:v>
      </x:c>
    </x:row>
    <x:row r="17">
      <x:c r="A17" t="str">
        <x:v>水果</x:v>
      </x:c>
      <x:c r="B17" t="n">
        <x:f>COUNTIF(IngredientDB!$B:$B,A17)</x:f>
        <x:v>76</x:v>
      </x:c>
    </x:row>
    <x:row r="18">
      <x:c r="A18" t="str">
        <x:v>油脂</x:v>
      </x:c>
      <x:c r="B18" t="n">
        <x:f>COUNTIF(IngredientDB!$B:$B,A18)</x:f>
        <x:v>10</x:v>
      </x:c>
    </x:row>
    <x:row r="19">
      <x:c r="A19" t="str">
        <x:v>海鮮/魚類</x:v>
      </x:c>
      <x:c r="B19" t="n">
        <x:f>COUNTIF(IngredientDB!$B:$B,A19)</x:f>
        <x:v>65</x:v>
      </x:c>
    </x:row>
    <x:row r="20">
      <x:c r="A20" t="str">
        <x:v>肉類/蛋白質</x:v>
      </x:c>
      <x:c r="B20" t="n">
        <x:f>COUNTIF(IngredientDB!$B:$B,A20)</x:f>
        <x:v>71</x:v>
      </x:c>
    </x:row>
    <x:row r="21">
      <x:c r="A21" t="str">
        <x:v>蔬菜</x:v>
      </x:c>
      <x:c r="B21" t="n">
        <x:f>COUNTIF(IngredientDB!$B:$B,A21)</x:f>
        <x:v>119</x:v>
      </x:c>
    </x:row>
    <x:row r="22">
      <x:c r="A22" t="str">
        <x:v>蛋類</x:v>
      </x:c>
      <x:c r="B22" t="n">
        <x:f>COUNTIF(IngredientDB!$B:$B,A22)</x:f>
        <x:v>3</x:v>
      </x:c>
    </x:row>
    <x:row r="23">
      <x:c r="A23" t="str">
        <x:v>豆類/植物蛋白</x:v>
      </x:c>
      <x:c r="B23" t="n">
        <x:f>COUNTIF(IngredientDB!$B:$B,A23)</x:f>
        <x:v>42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36" hidden="0" customWidth="1"/>
    <x:col min="4" max="4" width="52" hidden="0" customWidth="1"/>
  </x:cols>
  <x:sheetData>
    <x:row r="1">
      <x:c r="A1" s="51" t="str">
        <x:v>BetterBit 營養資料來源與使用說明</x:v>
      </x:c>
    </x:row>
    <x:row r="3">
      <x:c r="A3" s="41" t="str">
        <x:v>source_name</x:v>
      </x:c>
      <x:c r="B3" s="41" t="str">
        <x:v>official_url</x:v>
      </x:c>
      <x:c r="C3" s="41" t="str">
        <x:v>usage</x:v>
      </x:c>
      <x:c r="D3" s="41" t="str">
        <x:v>note</x:v>
      </x:c>
    </x:row>
    <x:row r="4">
      <x:c r="A4" s="8" t="str">
        <x:v>USDA FoodData Central</x:v>
      </x:c>
      <x:c r="B4" s="8" t="str">
        <x:v>https://fdc.nal.usda.gov/</x:v>
      </x:c>
      <x:c r="C4" s="8" t="str">
        <x:v>補足國際通用食材與宏量營養素</x:v>
      </x:c>
      <x:c r="D4" s="8" t="str">
        <x:v>FDC 資料為 public domain / CC0；產品上線仍建議記錄食物代碼</x:v>
      </x:c>
    </x:row>
    <x:row r="5">
      <x:c r="A5" s="8" t="str">
        <x:v>Taiwan FDA 食品營養成分資料庫</x:v>
      </x:c>
      <x:c r="B5" s="8" t="str">
        <x:v>https://www.fda.gov.tw/tc/siteList.aspx?sid=284</x:v>
      </x:c>
      <x:c r="C5" s="8" t="str">
        <x:v>台灣在地食材優先口徑</x:v>
      </x:c>
      <x:c r="D5" s="8" t="str">
        <x:v>可作台灣 App 的主要基準資料源</x:v>
      </x:c>
    </x:row>
    <x:row r="6">
      <x:c r="A6" s="8" t="str">
        <x:v>Taiwan FDA 消費者知識服務網 TFND</x:v>
      </x:c>
      <x:c r="B6" s="8" t="str">
        <x:v>https://consumer.fda.gov.tw/Food/TFND.aspx?nodeID=178</x:v>
      </x:c>
      <x:c r="C6" s="8" t="str">
        <x:v>查詢台灣食品營養資料</x:v>
      </x:c>
      <x:c r="D6" s="8" t="str">
        <x:v>有些頁面可能需人工搜尋食材名稱</x:v>
      </x:c>
    </x:row>
    <x:row r="7">
      <x:c r="A7" s="8" t="str">
        <x:v>Estimate / MVP baseline</x:v>
      </x:c>
      <x:c r="B7" s="8" t="str">
        <x:v>N/A</x:v>
      </x:c>
      <x:c r="C7" s="8" t="str">
        <x:v>沒有穩定單一資料源或品牌差異大時使用</x:v>
      </x:c>
      <x:c r="D7" s="8" t="str">
        <x:v>需在 note 標記，未來用營養師或資料庫校正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8c27ee4990d4feb"/>
  </x:tableParts>
</x:worksheet>
</file>